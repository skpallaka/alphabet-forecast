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del_Base" sheetId="3" state="visible" r:id="rId3"/>
    <sheet xmlns:r="http://schemas.openxmlformats.org/officeDocument/2006/relationships" name="Model_Bull" sheetId="4" state="visible" r:id="rId4"/>
    <sheet xmlns:r="http://schemas.openxmlformats.org/officeDocument/2006/relationships" name="Model_Bear" sheetId="5" state="visible" r:id="rId5"/>
    <sheet xmlns:r="http://schemas.openxmlformats.org/officeDocument/2006/relationships" name="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%;-0.0%;0.0%"/>
    <numFmt numFmtId="165" formatCode="yyyy-mm-dd h:mm:ss"/>
    <numFmt numFmtId="166" formatCode="#,##0;(#,##0)"/>
    <numFmt numFmtId="167" formatCode="0.0%;(0.0%)"/>
    <numFmt numFmtId="168" formatCode="0.0%"/>
  </numFmts>
  <fonts count="12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color rgb="000000FF"/>
    </font>
    <font>
      <b val="1"/>
    </font>
    <font>
      <b val="1"/>
      <color rgb="00FFFFFF"/>
    </font>
    <font>
      <color rgb="00404040"/>
    </font>
    <font>
      <color rgb="007F7F7F"/>
    </font>
    <font/>
    <font>
      <color rgb="00000000"/>
    </font>
    <font>
      <b val="1"/>
      <color rgb="00000000"/>
    </font>
    <font>
      <color rgb="00007A33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0" applyAlignment="1" pivotButton="0" quotePrefix="0" xfId="0">
      <alignment horizontal="center"/>
    </xf>
    <xf numFmtId="0" fontId="8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168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0" pivotButton="0" quotePrefix="0" xfId="0"/>
    <xf numFmtId="0" fontId="0" fillId="3" borderId="0" pivotButton="0" quotePrefix="0" xfId="0"/>
    <xf numFmtId="164" fontId="3" fillId="2" borderId="0" applyAlignment="1" pivotButton="0" quotePrefix="0" xfId="0">
      <alignment horizontal="center"/>
    </xf>
    <xf numFmtId="0" fontId="6" fillId="0" borderId="0" pivotButton="0" quotePrefix="0" xfId="0"/>
    <xf numFmtId="0" fontId="5" fillId="3" borderId="0" applyAlignment="1" pivotButton="0" quotePrefix="0" xfId="0">
      <alignment horizontal="right"/>
    </xf>
    <xf numFmtId="17" fontId="0" fillId="0" borderId="0" applyAlignment="1" pivotButton="0" quotePrefix="0" xfId="0">
      <alignment horizontal="right"/>
    </xf>
    <xf numFmtId="17" fontId="0" fillId="4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7" fillId="0" borderId="0" pivotButton="0" quotePrefix="0" xfId="0"/>
    <xf numFmtId="0" fontId="8" fillId="0" borderId="0" applyAlignment="1" pivotButton="0" quotePrefix="0" xfId="0">
      <alignment indent="1"/>
    </xf>
    <xf numFmtId="166" fontId="3" fillId="0" borderId="0" pivotButton="0" quotePrefix="0" xfId="0"/>
    <xf numFmtId="166" fontId="9" fillId="4" borderId="0" pivotButton="0" quotePrefix="0" xfId="0"/>
    <xf numFmtId="166" fontId="10" fillId="0" borderId="1" pivotButton="0" quotePrefix="0" xfId="0"/>
    <xf numFmtId="166" fontId="10" fillId="4" borderId="1" pivotButton="0" quotePrefix="0" xfId="0"/>
    <xf numFmtId="167" fontId="9" fillId="0" borderId="0" pivotButton="0" quotePrefix="0" xfId="0"/>
    <xf numFmtId="167" fontId="9" fillId="4" borderId="0" pivotButton="0" quotePrefix="0" xfId="0"/>
    <xf numFmtId="167" fontId="10" fillId="0" borderId="0" pivotButton="0" quotePrefix="0" xfId="0"/>
    <xf numFmtId="167" fontId="10" fillId="4" borderId="0" pivotButton="0" quotePrefix="0" xfId="0"/>
    <xf numFmtId="166" fontId="10" fillId="0" borderId="0" pivotButton="0" quotePrefix="0" xfId="0"/>
    <xf numFmtId="166" fontId="10" fillId="4" borderId="0" pivotButton="0" quotePrefix="0" xfId="0"/>
    <xf numFmtId="166" fontId="11" fillId="0" borderId="0" pivotButton="0" quotePrefix="0" xfId="0"/>
    <xf numFmtId="166" fontId="11" fillId="4" borderId="0" pivotButton="0" quotePrefix="0" xfId="0"/>
    <xf numFmtId="168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Scenario summary: Bull / Base / Bear  |  $ millions</t>
        </is>
      </c>
    </row>
    <row r="2">
      <c r="A2" s="2" t="inlineStr">
        <is>
          <t>Bear/Bull = Base growth -/+ the deltas on the Assumptions sheet (Cloud +/-5pp, Search and YouTube +/-2pp). FY2026E = 2 actual quarters + 2 forecast quarters.</t>
        </is>
      </c>
    </row>
    <row r="4">
      <c r="A4" s="3" t="inlineStr"/>
      <c r="B4" s="3" t="inlineStr"/>
      <c r="C4" s="3" t="inlineStr">
        <is>
          <t>FY2025A</t>
        </is>
      </c>
      <c r="D4" s="3" t="inlineStr">
        <is>
          <t>FY26E Bear</t>
        </is>
      </c>
      <c r="E4" s="3" t="inlineStr">
        <is>
          <t>FY26E Base</t>
        </is>
      </c>
      <c r="F4" s="3" t="inlineStr">
        <is>
          <t>FY26E Bull</t>
        </is>
      </c>
      <c r="G4" s="3" t="inlineStr">
        <is>
          <t>FY27E Bear</t>
        </is>
      </c>
      <c r="H4" s="3" t="inlineStr">
        <is>
          <t>FY27E Base</t>
        </is>
      </c>
      <c r="I4" s="3" t="inlineStr">
        <is>
          <t>FY27E Bull</t>
        </is>
      </c>
    </row>
    <row r="5">
      <c r="A5" s="4" t="inlineStr">
        <is>
          <t>Google Cloud revenue</t>
        </is>
      </c>
      <c r="C5" s="5">
        <f>SUM(Model_Base!AA12:AD12)</f>
        <v/>
      </c>
      <c r="D5" s="5">
        <f>SUM(Model_Bear!AE12:AH12)</f>
        <v/>
      </c>
      <c r="E5" s="5">
        <f>SUM(Model_Base!AE12:AH12)</f>
        <v/>
      </c>
      <c r="F5" s="5">
        <f>SUM(Model_Bull!AE12:AH12)</f>
        <v/>
      </c>
      <c r="G5" s="5">
        <f>SUM(Model_Bear!AI12:AL12)</f>
        <v/>
      </c>
      <c r="H5" s="5">
        <f>SUM(Model_Base!AI12:AL12)</f>
        <v/>
      </c>
      <c r="I5" s="5">
        <f>SUM(Model_Bull!AI12:AL12)</f>
        <v/>
      </c>
    </row>
    <row r="6">
      <c r="A6" s="4" t="inlineStr">
        <is>
          <t>Search &amp; other revenue</t>
        </is>
      </c>
      <c r="C6" s="5">
        <f>SUM(Model_Base!AA8:AD8)</f>
        <v/>
      </c>
      <c r="D6" s="5">
        <f>SUM(Model_Bear!AE8:AH8)</f>
        <v/>
      </c>
      <c r="E6" s="5">
        <f>SUM(Model_Base!AE8:AH8)</f>
        <v/>
      </c>
      <c r="F6" s="5">
        <f>SUM(Model_Bull!AE8:AH8)</f>
        <v/>
      </c>
      <c r="G6" s="5">
        <f>SUM(Model_Bear!AI8:AL8)</f>
        <v/>
      </c>
      <c r="H6" s="5">
        <f>SUM(Model_Base!AI8:AL8)</f>
        <v/>
      </c>
      <c r="I6" s="5">
        <f>SUM(Model_Bull!AI8:AL8)</f>
        <v/>
      </c>
    </row>
    <row r="7">
      <c r="A7" s="6" t="inlineStr">
        <is>
          <t>Total revenues</t>
        </is>
      </c>
      <c r="C7" s="5">
        <f>SUM(Model_Base!AA15:AD15)</f>
        <v/>
      </c>
      <c r="D7" s="5">
        <f>SUM(Model_Bear!AE15:AH15)</f>
        <v/>
      </c>
      <c r="E7" s="5">
        <f>SUM(Model_Base!AE15:AH15)</f>
        <v/>
      </c>
      <c r="F7" s="5">
        <f>SUM(Model_Bull!AE15:AH15)</f>
        <v/>
      </c>
      <c r="G7" s="5">
        <f>SUM(Model_Bear!AI15:AL15)</f>
        <v/>
      </c>
      <c r="H7" s="5">
        <f>SUM(Model_Base!AI15:AL15)</f>
        <v/>
      </c>
      <c r="I7" s="5">
        <f>SUM(Model_Bull!AI15:AL15)</f>
        <v/>
      </c>
    </row>
    <row r="8">
      <c r="A8" s="4" t="inlineStr">
        <is>
          <t>Gross profit</t>
        </is>
      </c>
      <c r="C8" s="5">
        <f>SUM(Model_Base!AA28:AD28)</f>
        <v/>
      </c>
      <c r="D8" s="5">
        <f>SUM(Model_Bear!AE28:AH28)</f>
        <v/>
      </c>
      <c r="E8" s="5">
        <f>SUM(Model_Base!AE28:AH28)</f>
        <v/>
      </c>
      <c r="F8" s="5">
        <f>SUM(Model_Bull!AE28:AH28)</f>
        <v/>
      </c>
      <c r="G8" s="5">
        <f>SUM(Model_Bear!AI28:AL28)</f>
        <v/>
      </c>
      <c r="H8" s="5">
        <f>SUM(Model_Base!AI28:AL28)</f>
        <v/>
      </c>
      <c r="I8" s="5">
        <f>SUM(Model_Bull!AI28:AL28)</f>
        <v/>
      </c>
    </row>
    <row r="9">
      <c r="A9" s="4" t="inlineStr">
        <is>
          <t>Operating expenses</t>
        </is>
      </c>
      <c r="C9" s="5">
        <f>SUM(Model_Base!AA34:AD34)</f>
        <v/>
      </c>
      <c r="D9" s="5">
        <f>SUM(Model_Bear!AE34:AH34)</f>
        <v/>
      </c>
      <c r="E9" s="5">
        <f>SUM(Model_Base!AE34:AH34)</f>
        <v/>
      </c>
      <c r="F9" s="5">
        <f>SUM(Model_Bull!AE34:AH34)</f>
        <v/>
      </c>
      <c r="G9" s="5">
        <f>SUM(Model_Bear!AI34:AL34)</f>
        <v/>
      </c>
      <c r="H9" s="5">
        <f>SUM(Model_Base!AI34:AL34)</f>
        <v/>
      </c>
      <c r="I9" s="5">
        <f>SUM(Model_Bull!AI34:AL34)</f>
        <v/>
      </c>
    </row>
    <row r="10">
      <c r="A10" s="6" t="inlineStr">
        <is>
          <t>Operating income</t>
        </is>
      </c>
      <c r="C10" s="5">
        <f>SUM(Model_Base!AA35:AD35)</f>
        <v/>
      </c>
      <c r="D10" s="5">
        <f>SUM(Model_Bear!AE35:AH35)</f>
        <v/>
      </c>
      <c r="E10" s="5">
        <f>SUM(Model_Base!AE35:AH35)</f>
        <v/>
      </c>
      <c r="F10" s="5">
        <f>SUM(Model_Bull!AE35:AH35)</f>
        <v/>
      </c>
      <c r="G10" s="5">
        <f>SUM(Model_Bear!AI35:AL35)</f>
        <v/>
      </c>
      <c r="H10" s="5">
        <f>SUM(Model_Base!AI35:AL35)</f>
        <v/>
      </c>
      <c r="I10" s="5">
        <f>SUM(Model_Bull!AI35:AL35)</f>
        <v/>
      </c>
    </row>
    <row r="11">
      <c r="A11" s="6" t="inlineStr">
        <is>
          <t>Operating margin</t>
        </is>
      </c>
      <c r="C11" s="7">
        <f>C10/C7</f>
        <v/>
      </c>
      <c r="D11" s="7">
        <f>D10/D7</f>
        <v/>
      </c>
      <c r="E11" s="7">
        <f>E10/E7</f>
        <v/>
      </c>
      <c r="F11" s="7">
        <f>F10/F7</f>
        <v/>
      </c>
      <c r="G11" s="7">
        <f>G10/G7</f>
        <v/>
      </c>
      <c r="H11" s="7">
        <f>H10/H7</f>
        <v/>
      </c>
      <c r="I11" s="7">
        <f>I10/I7</f>
        <v/>
      </c>
    </row>
    <row r="12">
      <c r="A12" t="inlineStr">
        <is>
          <t>Total revenue growth YoY</t>
        </is>
      </c>
      <c r="C12" s="7">
        <f>C7/SUM(Model_Base!W15:Z15)-1</f>
        <v/>
      </c>
      <c r="D12" s="7">
        <f>D7/$C$7-1</f>
        <v/>
      </c>
      <c r="E12" s="7">
        <f>E7/$C$7-1</f>
        <v/>
      </c>
      <c r="F12" s="7">
        <f>F7/$C$7-1</f>
        <v/>
      </c>
      <c r="G12" s="7">
        <f>G7/D7-1</f>
        <v/>
      </c>
      <c r="H12" s="7">
        <f>H7/E7-1</f>
        <v/>
      </c>
      <c r="I12" s="7">
        <f>I7/F7-1</f>
        <v/>
      </c>
    </row>
    <row r="14">
      <c r="A14" s="6" t="inlineStr">
        <is>
          <t>vs. Base case</t>
        </is>
      </c>
    </row>
    <row r="15">
      <c r="A15" t="inlineStr">
        <is>
          <t>Operating income vs Base ($M)</t>
        </is>
      </c>
      <c r="D15" s="8">
        <f>D10-E10</f>
        <v/>
      </c>
      <c r="E15" s="8">
        <f>E10-E10</f>
        <v/>
      </c>
      <c r="F15" s="8">
        <f>F10-E10</f>
        <v/>
      </c>
      <c r="G15" s="8">
        <f>G10-H10</f>
        <v/>
      </c>
      <c r="H15" s="8">
        <f>H10-H10</f>
        <v/>
      </c>
      <c r="I15" s="8">
        <f>I10-H10</f>
        <v/>
      </c>
    </row>
    <row r="16">
      <c r="A16" t="inlineStr">
        <is>
          <t>Operating income vs Base (%)</t>
        </is>
      </c>
      <c r="D16" s="9">
        <f>D10/E10-1</f>
        <v/>
      </c>
      <c r="E16" s="9">
        <f>E10/E10-1</f>
        <v/>
      </c>
      <c r="F16" s="9">
        <f>F10/E10-1</f>
        <v/>
      </c>
      <c r="G16" s="9">
        <f>G10/H10-1</f>
        <v/>
      </c>
      <c r="H16" s="9">
        <f>H10/H10-1</f>
        <v/>
      </c>
      <c r="I16" s="9">
        <f>I10/H10-1</f>
        <v/>
      </c>
    </row>
    <row r="17">
      <c r="A17" t="inlineStr">
        <is>
          <t>Total revenue vs Base ($M)</t>
        </is>
      </c>
      <c r="D17" s="8">
        <f>D7-E7</f>
        <v/>
      </c>
      <c r="E17" s="8">
        <f>E7-E7</f>
        <v/>
      </c>
      <c r="F17" s="8">
        <f>F7-E7</f>
        <v/>
      </c>
      <c r="G17" s="8">
        <f>G7-H7</f>
        <v/>
      </c>
      <c r="H17" s="8">
        <f>H7-H7</f>
        <v/>
      </c>
      <c r="I17" s="8">
        <f>I7-H7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Assumptions &amp; scenario inputs</t>
        </is>
      </c>
    </row>
    <row r="2">
      <c r="A2" s="2" t="inlineStr">
        <is>
          <t>Blue cells on blue fill are the only inputs. Everything else in the workbook is formula-driven.</t>
        </is>
      </c>
    </row>
    <row r="4" ht="48" customHeight="1">
      <c r="A4" t="inlineStr">
        <is>
          <t>Growth fade factor (per quarter ahead)</t>
        </is>
      </c>
      <c r="C4" s="10" t="n">
        <v>0.9</v>
      </c>
      <c r="D4" s="11" t="inlineStr">
        <is>
          <t>Latest YoY growth is multiplied by fade^k for the k-th forecast quarter. 1.00 = carry growth forward unchanged. Backtest note: fading cost accuracy on Cloud (it kept accelerating) but is neutral elsewhere.</t>
        </is>
      </c>
    </row>
    <row r="7">
      <c r="A7" s="6" t="inlineStr">
        <is>
          <t>Scenario deltas: percentage points added to each forecast quarter's YoY growth</t>
        </is>
      </c>
    </row>
    <row r="8">
      <c r="A8" s="12" t="inlineStr">
        <is>
          <t>Segment</t>
        </is>
      </c>
      <c r="B8" s="13" t="n"/>
      <c r="C8" s="3" t="inlineStr">
        <is>
          <t>Bear</t>
        </is>
      </c>
      <c r="D8" s="3" t="inlineStr">
        <is>
          <t>Base</t>
        </is>
      </c>
      <c r="E8" s="3" t="inlineStr">
        <is>
          <t>Bull</t>
        </is>
      </c>
    </row>
    <row r="9">
      <c r="A9" t="inlineStr">
        <is>
          <t>Search &amp; other</t>
        </is>
      </c>
      <c r="C9" s="14" t="n">
        <v>-0.02</v>
      </c>
      <c r="D9" s="14" t="n">
        <v>0</v>
      </c>
      <c r="E9" s="14" t="n">
        <v>0.02</v>
      </c>
    </row>
    <row r="10">
      <c r="A10" t="inlineStr">
        <is>
          <t>YouTube ads</t>
        </is>
      </c>
      <c r="C10" s="14" t="n">
        <v>-0.02</v>
      </c>
      <c r="D10" s="14" t="n">
        <v>0</v>
      </c>
      <c r="E10" s="14" t="n">
        <v>0.02</v>
      </c>
    </row>
    <row r="11">
      <c r="A11" t="inlineStr">
        <is>
          <t>Network</t>
        </is>
      </c>
      <c r="C11" s="14" t="n">
        <v>0</v>
      </c>
      <c r="D11" s="14" t="n">
        <v>0</v>
      </c>
      <c r="E11" s="14" t="n">
        <v>0</v>
      </c>
    </row>
    <row r="12">
      <c r="A12" t="inlineStr">
        <is>
          <t>Subscriptions, platforms &amp; devices</t>
        </is>
      </c>
      <c r="C12" s="14" t="n">
        <v>0</v>
      </c>
      <c r="D12" s="14" t="n">
        <v>0</v>
      </c>
      <c r="E12" s="14" t="n">
        <v>0</v>
      </c>
    </row>
    <row r="13">
      <c r="A13" t="inlineStr">
        <is>
          <t>Google Cloud</t>
        </is>
      </c>
      <c r="C13" s="14" t="n">
        <v>-0.05</v>
      </c>
      <c r="D13" s="14" t="n">
        <v>0</v>
      </c>
      <c r="E13" s="14" t="n">
        <v>0.05</v>
      </c>
    </row>
    <row r="14">
      <c r="A14" t="inlineStr">
        <is>
          <t>Other Bets</t>
        </is>
      </c>
      <c r="C14" s="14" t="n">
        <v>0</v>
      </c>
      <c r="D14" s="14" t="n">
        <v>0</v>
      </c>
      <c r="E14" s="14" t="n">
        <v>0</v>
      </c>
    </row>
    <row r="17">
      <c r="A17" s="6" t="inlineStr">
        <is>
          <t>Other fixed assumptions (documented, not inputs):</t>
        </is>
      </c>
    </row>
    <row r="18">
      <c r="A18" s="15" t="inlineStr">
        <is>
          <t xml:space="preserve">  - Cost of revenues, sales &amp; marketing: % of revenue = trailing 4-quarter average ratio (rolling).</t>
        </is>
      </c>
    </row>
    <row r="19">
      <c r="A19" s="15" t="inlineStr">
        <is>
          <t xml:space="preserve">  - R&amp;D and G&amp;A: same method in Base; held at Base-case dollars in Bull/Bear (headcount/compute commitments don't flex with a revenue swing).</t>
        </is>
      </c>
    </row>
    <row r="20">
      <c r="A20" s="15" t="inlineStr">
        <is>
          <t xml:space="preserve">  - Hedging gains/losses and EC fines: forecast at zero.</t>
        </is>
      </c>
    </row>
    <row r="21">
      <c r="A21" s="15" t="inlineStr">
        <is>
          <t xml:space="preserve">  - Seasonality: each forecast quarter grows off the same quarter a year earlier, so the Q4 ad peak is carried automatically.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>
      <c r="A1" s="1" t="inlineStr">
        <is>
          <t>Alphabet Inc. - quarterly P&amp;L model (Base case)  |  $ millions</t>
        </is>
      </c>
    </row>
    <row r="2">
      <c r="A2" s="2" t="inlineStr">
        <is>
          <t>Blue = hard-coded SEC history. Black = formula. Yellow-shaded columns = forecast. Source: SEC EDGAR XBRL (companyfacts + 10-Q/10-K instance documents).</t>
        </is>
      </c>
    </row>
    <row r="3">
      <c r="A3" s="12" t="inlineStr">
        <is>
          <t>Quarter</t>
        </is>
      </c>
      <c r="B3" s="13" t="n"/>
      <c r="C3" s="16" t="inlineStr">
        <is>
          <t>Q1'19</t>
        </is>
      </c>
      <c r="D3" s="16" t="inlineStr">
        <is>
          <t>Q2'19</t>
        </is>
      </c>
      <c r="E3" s="16" t="inlineStr">
        <is>
          <t>Q3'19</t>
        </is>
      </c>
      <c r="F3" s="16" t="inlineStr">
        <is>
          <t>Q4'19</t>
        </is>
      </c>
      <c r="G3" s="16" t="inlineStr">
        <is>
          <t>Q1'20</t>
        </is>
      </c>
      <c r="H3" s="16" t="inlineStr">
        <is>
          <t>Q2'20</t>
        </is>
      </c>
      <c r="I3" s="16" t="inlineStr">
        <is>
          <t>Q3'20</t>
        </is>
      </c>
      <c r="J3" s="16" t="inlineStr">
        <is>
          <t>Q4'20</t>
        </is>
      </c>
      <c r="K3" s="16" t="inlineStr">
        <is>
          <t>Q1'21</t>
        </is>
      </c>
      <c r="L3" s="16" t="inlineStr">
        <is>
          <t>Q2'21</t>
        </is>
      </c>
      <c r="M3" s="16" t="inlineStr">
        <is>
          <t>Q3'21</t>
        </is>
      </c>
      <c r="N3" s="16" t="inlineStr">
        <is>
          <t>Q4'21</t>
        </is>
      </c>
      <c r="O3" s="16" t="inlineStr">
        <is>
          <t>Q1'22</t>
        </is>
      </c>
      <c r="P3" s="16" t="inlineStr">
        <is>
          <t>Q2'22</t>
        </is>
      </c>
      <c r="Q3" s="16" t="inlineStr">
        <is>
          <t>Q3'22</t>
        </is>
      </c>
      <c r="R3" s="16" t="inlineStr">
        <is>
          <t>Q4'22</t>
        </is>
      </c>
      <c r="S3" s="16" t="inlineStr">
        <is>
          <t>Q1'23</t>
        </is>
      </c>
      <c r="T3" s="16" t="inlineStr">
        <is>
          <t>Q2'23</t>
        </is>
      </c>
      <c r="U3" s="16" t="inlineStr">
        <is>
          <t>Q3'23</t>
        </is>
      </c>
      <c r="V3" s="16" t="inlineStr">
        <is>
          <t>Q4'23</t>
        </is>
      </c>
      <c r="W3" s="16" t="inlineStr">
        <is>
          <t>Q1'24</t>
        </is>
      </c>
      <c r="X3" s="16" t="inlineStr">
        <is>
          <t>Q2'24</t>
        </is>
      </c>
      <c r="Y3" s="16" t="inlineStr">
        <is>
          <t>Q3'24</t>
        </is>
      </c>
      <c r="Z3" s="16" t="inlineStr">
        <is>
          <t>Q4'24</t>
        </is>
      </c>
      <c r="AA3" s="16" t="inlineStr">
        <is>
          <t>Q1'25</t>
        </is>
      </c>
      <c r="AB3" s="16" t="inlineStr">
        <is>
          <t>Q2'25</t>
        </is>
      </c>
      <c r="AC3" s="16" t="inlineStr">
        <is>
          <t>Q3'25</t>
        </is>
      </c>
      <c r="AD3" s="16" t="inlineStr">
        <is>
          <t>Q4'25</t>
        </is>
      </c>
      <c r="AE3" s="16" t="inlineStr">
        <is>
          <t>Q1'26</t>
        </is>
      </c>
      <c r="AF3" s="16" t="inlineStr">
        <is>
          <t>Q2'26</t>
        </is>
      </c>
      <c r="AG3" s="16" t="inlineStr">
        <is>
          <t>Q3'26</t>
        </is>
      </c>
      <c r="AH3" s="16" t="inlineStr">
        <is>
          <t>Q4'26</t>
        </is>
      </c>
      <c r="AI3" s="16" t="inlineStr">
        <is>
          <t>Q1'27</t>
        </is>
      </c>
      <c r="AJ3" s="16" t="inlineStr">
        <is>
          <t>Q2'27</t>
        </is>
      </c>
      <c r="AK3" s="16" t="inlineStr">
        <is>
          <t>Q3'27</t>
        </is>
      </c>
      <c r="AL3" s="16" t="inlineStr">
        <is>
          <t>Q4'27</t>
        </is>
      </c>
    </row>
    <row r="4">
      <c r="C4" s="17" t="n">
        <v>43555</v>
      </c>
      <c r="D4" s="17" t="n">
        <v>43646</v>
      </c>
      <c r="E4" s="17" t="n">
        <v>43738</v>
      </c>
      <c r="F4" s="17" t="n">
        <v>43830</v>
      </c>
      <c r="G4" s="17" t="n">
        <v>43921</v>
      </c>
      <c r="H4" s="17" t="n">
        <v>44012</v>
      </c>
      <c r="I4" s="17" t="n">
        <v>44104</v>
      </c>
      <c r="J4" s="17" t="n">
        <v>44196</v>
      </c>
      <c r="K4" s="17" t="n">
        <v>44286</v>
      </c>
      <c r="L4" s="17" t="n">
        <v>44377</v>
      </c>
      <c r="M4" s="17" t="n">
        <v>44469</v>
      </c>
      <c r="N4" s="17" t="n">
        <v>44561</v>
      </c>
      <c r="O4" s="17" t="n">
        <v>44651</v>
      </c>
      <c r="P4" s="17" t="n">
        <v>44742</v>
      </c>
      <c r="Q4" s="17" t="n">
        <v>44834</v>
      </c>
      <c r="R4" s="17" t="n">
        <v>44926</v>
      </c>
      <c r="S4" s="17" t="n">
        <v>45016</v>
      </c>
      <c r="T4" s="17" t="n">
        <v>45107</v>
      </c>
      <c r="U4" s="17" t="n">
        <v>45199</v>
      </c>
      <c r="V4" s="17" t="n">
        <v>45291</v>
      </c>
      <c r="W4" s="17" t="n">
        <v>45382</v>
      </c>
      <c r="X4" s="17" t="n">
        <v>45473</v>
      </c>
      <c r="Y4" s="17" t="n">
        <v>45565</v>
      </c>
      <c r="Z4" s="17" t="n">
        <v>45657</v>
      </c>
      <c r="AA4" s="17" t="n">
        <v>45747</v>
      </c>
      <c r="AB4" s="17" t="n">
        <v>45838</v>
      </c>
      <c r="AC4" s="17" t="n">
        <v>45930</v>
      </c>
      <c r="AD4" s="17" t="n">
        <v>46022</v>
      </c>
      <c r="AE4" s="17" t="n">
        <v>46112</v>
      </c>
      <c r="AF4" s="17" t="n">
        <v>46203</v>
      </c>
      <c r="AG4" s="18" t="n">
        <v>46295</v>
      </c>
      <c r="AH4" s="18" t="n">
        <v>46387</v>
      </c>
      <c r="AI4" s="18" t="n">
        <v>46477</v>
      </c>
      <c r="AJ4" s="18" t="n">
        <v>46568</v>
      </c>
      <c r="AK4" s="18" t="n">
        <v>46660</v>
      </c>
      <c r="AL4" s="18" t="n">
        <v>46752</v>
      </c>
    </row>
    <row r="5">
      <c r="C5" s="19" t="inlineStr">
        <is>
          <t>Actual</t>
        </is>
      </c>
      <c r="D5" s="19" t="inlineStr">
        <is>
          <t>Actual</t>
        </is>
      </c>
      <c r="E5" s="19" t="inlineStr">
        <is>
          <t>Actual</t>
        </is>
      </c>
      <c r="F5" s="19" t="inlineStr">
        <is>
          <t>Actual</t>
        </is>
      </c>
      <c r="G5" s="19" t="inlineStr">
        <is>
          <t>Actual</t>
        </is>
      </c>
      <c r="H5" s="19" t="inlineStr">
        <is>
          <t>Actual</t>
        </is>
      </c>
      <c r="I5" s="19" t="inlineStr">
        <is>
          <t>Actual</t>
        </is>
      </c>
      <c r="J5" s="19" t="inlineStr">
        <is>
          <t>Actual</t>
        </is>
      </c>
      <c r="K5" s="19" t="inlineStr">
        <is>
          <t>Actual</t>
        </is>
      </c>
      <c r="L5" s="19" t="inlineStr">
        <is>
          <t>Actual</t>
        </is>
      </c>
      <c r="M5" s="19" t="inlineStr">
        <is>
          <t>Actual</t>
        </is>
      </c>
      <c r="N5" s="19" t="inlineStr">
        <is>
          <t>Actual</t>
        </is>
      </c>
      <c r="O5" s="19" t="inlineStr">
        <is>
          <t>Actual</t>
        </is>
      </c>
      <c r="P5" s="19" t="inlineStr">
        <is>
          <t>Actual</t>
        </is>
      </c>
      <c r="Q5" s="19" t="inlineStr">
        <is>
          <t>Actual</t>
        </is>
      </c>
      <c r="R5" s="19" t="inlineStr">
        <is>
          <t>Actual</t>
        </is>
      </c>
      <c r="S5" s="19" t="inlineStr">
        <is>
          <t>Actual</t>
        </is>
      </c>
      <c r="T5" s="19" t="inlineStr">
        <is>
          <t>Actual</t>
        </is>
      </c>
      <c r="U5" s="19" t="inlineStr">
        <is>
          <t>Actual</t>
        </is>
      </c>
      <c r="V5" s="19" t="inlineStr">
        <is>
          <t>Actual</t>
        </is>
      </c>
      <c r="W5" s="19" t="inlineStr">
        <is>
          <t>Actual</t>
        </is>
      </c>
      <c r="X5" s="19" t="inlineStr">
        <is>
          <t>Actual</t>
        </is>
      </c>
      <c r="Y5" s="19" t="inlineStr">
        <is>
          <t>Actual</t>
        </is>
      </c>
      <c r="Z5" s="19" t="inlineStr">
        <is>
          <t>Actual</t>
        </is>
      </c>
      <c r="AA5" s="19" t="inlineStr">
        <is>
          <t>Actual</t>
        </is>
      </c>
      <c r="AB5" s="19" t="inlineStr">
        <is>
          <t>Actual</t>
        </is>
      </c>
      <c r="AC5" s="19" t="inlineStr">
        <is>
          <t>Actual</t>
        </is>
      </c>
      <c r="AD5" s="19" t="inlineStr">
        <is>
          <t>Actual</t>
        </is>
      </c>
      <c r="AE5" s="19" t="inlineStr">
        <is>
          <t>Actual</t>
        </is>
      </c>
      <c r="AF5" s="19" t="inlineStr">
        <is>
          <t>Actual</t>
        </is>
      </c>
      <c r="AG5" s="20" t="inlineStr">
        <is>
          <t>Forecast</t>
        </is>
      </c>
      <c r="AH5" s="20" t="inlineStr">
        <is>
          <t>Forecast</t>
        </is>
      </c>
      <c r="AI5" s="20" t="inlineStr">
        <is>
          <t>Forecast</t>
        </is>
      </c>
      <c r="AJ5" s="20" t="inlineStr">
        <is>
          <t>Forecast</t>
        </is>
      </c>
      <c r="AK5" s="20" t="inlineStr">
        <is>
          <t>Forecast</t>
        </is>
      </c>
      <c r="AL5" s="20" t="inlineStr">
        <is>
          <t>Forecast</t>
        </is>
      </c>
    </row>
    <row r="6">
      <c r="A6" s="21" t="inlineStr">
        <is>
          <t>Quarters ahead (k)</t>
        </is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20" t="n">
        <v>1</v>
      </c>
      <c r="AH6" s="20" t="n">
        <v>2</v>
      </c>
      <c r="AI6" s="20" t="n">
        <v>3</v>
      </c>
      <c r="AJ6" s="20" t="n">
        <v>4</v>
      </c>
      <c r="AK6" s="20" t="n">
        <v>5</v>
      </c>
      <c r="AL6" s="20" t="n">
        <v>6</v>
      </c>
    </row>
    <row r="7">
      <c r="A7" s="6" t="inlineStr">
        <is>
          <t>REVENUE</t>
        </is>
      </c>
    </row>
    <row r="8">
      <c r="A8" s="22" t="inlineStr">
        <is>
          <t>Search &amp; other</t>
        </is>
      </c>
      <c r="C8" s="23" t="n">
        <v>22547</v>
      </c>
      <c r="D8" s="23" t="n">
        <v>23642</v>
      </c>
      <c r="E8" s="23" t="n">
        <v>24741</v>
      </c>
      <c r="F8" s="23" t="n">
        <v>27185</v>
      </c>
      <c r="G8" s="23" t="n">
        <v>24502</v>
      </c>
      <c r="H8" s="23" t="n">
        <v>21319</v>
      </c>
      <c r="I8" s="23" t="n">
        <v>26338</v>
      </c>
      <c r="J8" s="23" t="n">
        <v>31903</v>
      </c>
      <c r="K8" s="23" t="n">
        <v>31879</v>
      </c>
      <c r="L8" s="23" t="n">
        <v>35845</v>
      </c>
      <c r="M8" s="23" t="n">
        <v>37926</v>
      </c>
      <c r="N8" s="23" t="n">
        <v>43301</v>
      </c>
      <c r="O8" s="23" t="n">
        <v>39618</v>
      </c>
      <c r="P8" s="23" t="n">
        <v>40689</v>
      </c>
      <c r="Q8" s="23" t="n">
        <v>39539</v>
      </c>
      <c r="R8" s="23" t="n">
        <v>42604</v>
      </c>
      <c r="S8" s="23" t="n">
        <v>40359</v>
      </c>
      <c r="T8" s="23" t="n">
        <v>42628</v>
      </c>
      <c r="U8" s="23" t="n">
        <v>44026</v>
      </c>
      <c r="V8" s="23" t="n">
        <v>48020</v>
      </c>
      <c r="W8" s="23" t="n">
        <v>46156</v>
      </c>
      <c r="X8" s="23" t="n">
        <v>48509</v>
      </c>
      <c r="Y8" s="23" t="n">
        <v>49385</v>
      </c>
      <c r="Z8" s="23" t="n">
        <v>54034</v>
      </c>
      <c r="AA8" s="23" t="n">
        <v>50702</v>
      </c>
      <c r="AB8" s="23" t="n">
        <v>54190</v>
      </c>
      <c r="AC8" s="23" t="n">
        <v>56567</v>
      </c>
      <c r="AD8" s="23" t="n">
        <v>63073</v>
      </c>
      <c r="AE8" s="23" t="n">
        <v>60399</v>
      </c>
      <c r="AF8" s="23" t="n">
        <v>63271</v>
      </c>
      <c r="AG8" s="24">
        <f>AC8*(1+AG45)</f>
        <v/>
      </c>
      <c r="AH8" s="24">
        <f>AD8*(1+AH45)</f>
        <v/>
      </c>
      <c r="AI8" s="24">
        <f>AE8*(1+AI45)</f>
        <v/>
      </c>
      <c r="AJ8" s="24">
        <f>AF8*(1+AJ45)</f>
        <v/>
      </c>
      <c r="AK8" s="24">
        <f>AG8*(1+AK45)</f>
        <v/>
      </c>
      <c r="AL8" s="24">
        <f>AH8*(1+AL45)</f>
        <v/>
      </c>
    </row>
    <row r="9">
      <c r="A9" s="22" t="inlineStr">
        <is>
          <t>YouTube ads</t>
        </is>
      </c>
      <c r="C9" s="23" t="n">
        <v>3025</v>
      </c>
      <c r="D9" s="23" t="n">
        <v>3603</v>
      </c>
      <c r="E9" s="23" t="n">
        <v>3804</v>
      </c>
      <c r="F9" s="23" t="n">
        <v>4717</v>
      </c>
      <c r="G9" s="23" t="n">
        <v>4038</v>
      </c>
      <c r="H9" s="23" t="n">
        <v>3812</v>
      </c>
      <c r="I9" s="23" t="n">
        <v>5037</v>
      </c>
      <c r="J9" s="23" t="n">
        <v>6885</v>
      </c>
      <c r="K9" s="23" t="n">
        <v>6005</v>
      </c>
      <c r="L9" s="23" t="n">
        <v>7002</v>
      </c>
      <c r="M9" s="23" t="n">
        <v>7205</v>
      </c>
      <c r="N9" s="23" t="n">
        <v>8633</v>
      </c>
      <c r="O9" s="23" t="n">
        <v>6869</v>
      </c>
      <c r="P9" s="23" t="n">
        <v>7340</v>
      </c>
      <c r="Q9" s="23" t="n">
        <v>7071</v>
      </c>
      <c r="R9" s="23" t="n">
        <v>7963</v>
      </c>
      <c r="S9" s="23" t="n">
        <v>6693</v>
      </c>
      <c r="T9" s="23" t="n">
        <v>7665</v>
      </c>
      <c r="U9" s="23" t="n">
        <v>7952</v>
      </c>
      <c r="V9" s="23" t="n">
        <v>9200</v>
      </c>
      <c r="W9" s="23" t="n">
        <v>8090</v>
      </c>
      <c r="X9" s="23" t="n">
        <v>8663</v>
      </c>
      <c r="Y9" s="23" t="n">
        <v>8921</v>
      </c>
      <c r="Z9" s="23" t="n">
        <v>10473</v>
      </c>
      <c r="AA9" s="23" t="n">
        <v>8927</v>
      </c>
      <c r="AB9" s="23" t="n">
        <v>9796</v>
      </c>
      <c r="AC9" s="23" t="n">
        <v>10261</v>
      </c>
      <c r="AD9" s="23" t="n">
        <v>11383</v>
      </c>
      <c r="AE9" s="23" t="n">
        <v>9883</v>
      </c>
      <c r="AF9" s="23" t="n">
        <v>11055</v>
      </c>
      <c r="AG9" s="24">
        <f>AC9*(1+AG46)</f>
        <v/>
      </c>
      <c r="AH9" s="24">
        <f>AD9*(1+AH46)</f>
        <v/>
      </c>
      <c r="AI9" s="24">
        <f>AE9*(1+AI46)</f>
        <v/>
      </c>
      <c r="AJ9" s="24">
        <f>AF9*(1+AJ46)</f>
        <v/>
      </c>
      <c r="AK9" s="24">
        <f>AG9*(1+AK46)</f>
        <v/>
      </c>
      <c r="AL9" s="24">
        <f>AH9*(1+AL46)</f>
        <v/>
      </c>
    </row>
    <row r="10">
      <c r="A10" s="22" t="inlineStr">
        <is>
          <t>Network</t>
        </is>
      </c>
      <c r="C10" s="23" t="n">
        <v>5015</v>
      </c>
      <c r="D10" s="23" t="n">
        <v>5249</v>
      </c>
      <c r="E10" s="23" t="n">
        <v>5251</v>
      </c>
      <c r="F10" s="23" t="n">
        <v>6032</v>
      </c>
      <c r="G10" s="23" t="n">
        <v>5223</v>
      </c>
      <c r="H10" s="23" t="n">
        <v>4736</v>
      </c>
      <c r="I10" s="23" t="n">
        <v>5720</v>
      </c>
      <c r="J10" s="23" t="n">
        <v>7411</v>
      </c>
      <c r="K10" s="23" t="n">
        <v>6800</v>
      </c>
      <c r="L10" s="23" t="n">
        <v>7597</v>
      </c>
      <c r="M10" s="23" t="n">
        <v>7999</v>
      </c>
      <c r="N10" s="23" t="n">
        <v>9305</v>
      </c>
      <c r="O10" s="23" t="n">
        <v>8174</v>
      </c>
      <c r="P10" s="23" t="n">
        <v>8259</v>
      </c>
      <c r="Q10" s="23" t="n">
        <v>7872</v>
      </c>
      <c r="R10" s="23" t="n">
        <v>8475</v>
      </c>
      <c r="S10" s="23" t="n">
        <v>7496</v>
      </c>
      <c r="T10" s="23" t="n">
        <v>7850</v>
      </c>
      <c r="U10" s="23" t="n">
        <v>7669</v>
      </c>
      <c r="V10" s="23" t="n">
        <v>8297</v>
      </c>
      <c r="W10" s="23" t="n">
        <v>7413</v>
      </c>
      <c r="X10" s="23" t="n">
        <v>7444</v>
      </c>
      <c r="Y10" s="23" t="n">
        <v>7548</v>
      </c>
      <c r="Z10" s="23" t="n">
        <v>7954</v>
      </c>
      <c r="AA10" s="23" t="n">
        <v>7256</v>
      </c>
      <c r="AB10" s="23" t="n">
        <v>7354</v>
      </c>
      <c r="AC10" s="23" t="n">
        <v>7354</v>
      </c>
      <c r="AD10" s="23" t="n">
        <v>7828</v>
      </c>
      <c r="AE10" s="23" t="n">
        <v>6971</v>
      </c>
      <c r="AF10" s="23" t="n">
        <v>7303</v>
      </c>
      <c r="AG10" s="24">
        <f>AC10*(1+AG47)</f>
        <v/>
      </c>
      <c r="AH10" s="24">
        <f>AD10*(1+AH47)</f>
        <v/>
      </c>
      <c r="AI10" s="24">
        <f>AE10*(1+AI47)</f>
        <v/>
      </c>
      <c r="AJ10" s="24">
        <f>AF10*(1+AJ47)</f>
        <v/>
      </c>
      <c r="AK10" s="24">
        <f>AG10*(1+AK47)</f>
        <v/>
      </c>
      <c r="AL10" s="24">
        <f>AH10*(1+AL47)</f>
        <v/>
      </c>
    </row>
    <row r="11">
      <c r="A11" s="22" t="inlineStr">
        <is>
          <t>Subscriptions, platforms &amp; devices</t>
        </is>
      </c>
      <c r="C11" s="23" t="n">
        <v>3620</v>
      </c>
      <c r="D11" s="23" t="n">
        <v>4080</v>
      </c>
      <c r="E11" s="23" t="n">
        <v>4050</v>
      </c>
      <c r="F11" s="23" t="n">
        <v>5264</v>
      </c>
      <c r="G11" s="23" t="n">
        <v>4435</v>
      </c>
      <c r="H11" s="23" t="n">
        <v>5124</v>
      </c>
      <c r="I11" s="23" t="n">
        <v>5478</v>
      </c>
      <c r="J11" s="23" t="n">
        <v>6674</v>
      </c>
      <c r="K11" s="23" t="n">
        <v>6494</v>
      </c>
      <c r="L11" s="23" t="n">
        <v>6623</v>
      </c>
      <c r="M11" s="23" t="n">
        <v>6754</v>
      </c>
      <c r="N11" s="23" t="n">
        <v>8161</v>
      </c>
      <c r="O11" s="23" t="n">
        <v>6811</v>
      </c>
      <c r="P11" s="23" t="n">
        <v>6553</v>
      </c>
      <c r="Q11" s="23" t="n">
        <v>6895</v>
      </c>
      <c r="R11" s="23" t="n">
        <v>8796</v>
      </c>
      <c r="S11" s="23" t="n">
        <v>7413</v>
      </c>
      <c r="T11" s="23" t="n">
        <v>8142</v>
      </c>
      <c r="U11" s="23" t="n">
        <v>8339</v>
      </c>
      <c r="V11" s="23" t="n">
        <v>10794</v>
      </c>
      <c r="W11" s="23" t="n">
        <v>8739</v>
      </c>
      <c r="X11" s="23" t="n">
        <v>9312</v>
      </c>
      <c r="Y11" s="23" t="n">
        <v>10656</v>
      </c>
      <c r="Z11" s="23" t="n">
        <v>11633</v>
      </c>
      <c r="AA11" s="23" t="n">
        <v>10379</v>
      </c>
      <c r="AB11" s="23" t="n">
        <v>11203</v>
      </c>
      <c r="AC11" s="23" t="n">
        <v>12870</v>
      </c>
      <c r="AD11" s="23" t="n">
        <v>13578</v>
      </c>
      <c r="AE11" s="23" t="n">
        <v>12384</v>
      </c>
      <c r="AF11" s="23" t="n">
        <v>12911</v>
      </c>
      <c r="AG11" s="24">
        <f>AC11*(1+AG48)</f>
        <v/>
      </c>
      <c r="AH11" s="24">
        <f>AD11*(1+AH48)</f>
        <v/>
      </c>
      <c r="AI11" s="24">
        <f>AE11*(1+AI48)</f>
        <v/>
      </c>
      <c r="AJ11" s="24">
        <f>AF11*(1+AJ48)</f>
        <v/>
      </c>
      <c r="AK11" s="24">
        <f>AG11*(1+AK48)</f>
        <v/>
      </c>
      <c r="AL11" s="24">
        <f>AH11*(1+AL48)</f>
        <v/>
      </c>
    </row>
    <row r="12">
      <c r="A12" s="22" t="inlineStr">
        <is>
          <t>Google Cloud</t>
        </is>
      </c>
      <c r="C12" s="23" t="n">
        <v>1825</v>
      </c>
      <c r="D12" s="23" t="n">
        <v>2100</v>
      </c>
      <c r="E12" s="23" t="n">
        <v>2379</v>
      </c>
      <c r="F12" s="23" t="n">
        <v>2614</v>
      </c>
      <c r="G12" s="23" t="n">
        <v>2777</v>
      </c>
      <c r="H12" s="23" t="n">
        <v>3007</v>
      </c>
      <c r="I12" s="23" t="n">
        <v>3444</v>
      </c>
      <c r="J12" s="23" t="n">
        <v>3831</v>
      </c>
      <c r="K12" s="23" t="n">
        <v>4047</v>
      </c>
      <c r="L12" s="23" t="n">
        <v>4628</v>
      </c>
      <c r="M12" s="23" t="n">
        <v>4990</v>
      </c>
      <c r="N12" s="23" t="n">
        <v>5541</v>
      </c>
      <c r="O12" s="23" t="n">
        <v>5821</v>
      </c>
      <c r="P12" s="23" t="n">
        <v>6276</v>
      </c>
      <c r="Q12" s="23" t="n">
        <v>6868</v>
      </c>
      <c r="R12" s="23" t="n">
        <v>7315</v>
      </c>
      <c r="S12" s="23" t="n">
        <v>7454</v>
      </c>
      <c r="T12" s="23" t="n">
        <v>8031</v>
      </c>
      <c r="U12" s="23" t="n">
        <v>8411</v>
      </c>
      <c r="V12" s="23" t="n">
        <v>9192</v>
      </c>
      <c r="W12" s="23" t="n">
        <v>9574</v>
      </c>
      <c r="X12" s="23" t="n">
        <v>10347</v>
      </c>
      <c r="Y12" s="23" t="n">
        <v>11353</v>
      </c>
      <c r="Z12" s="23" t="n">
        <v>11955</v>
      </c>
      <c r="AA12" s="23" t="n">
        <v>12260</v>
      </c>
      <c r="AB12" s="23" t="n">
        <v>13624</v>
      </c>
      <c r="AC12" s="23" t="n">
        <v>15157</v>
      </c>
      <c r="AD12" s="23" t="n">
        <v>17664</v>
      </c>
      <c r="AE12" s="23" t="n">
        <v>20028</v>
      </c>
      <c r="AF12" s="23" t="n">
        <v>24768</v>
      </c>
      <c r="AG12" s="24">
        <f>AC12*(1+AG49)</f>
        <v/>
      </c>
      <c r="AH12" s="24">
        <f>AD12*(1+AH49)</f>
        <v/>
      </c>
      <c r="AI12" s="24">
        <f>AE12*(1+AI49)</f>
        <v/>
      </c>
      <c r="AJ12" s="24">
        <f>AF12*(1+AJ49)</f>
        <v/>
      </c>
      <c r="AK12" s="24">
        <f>AG12*(1+AK49)</f>
        <v/>
      </c>
      <c r="AL12" s="24">
        <f>AH12*(1+AL49)</f>
        <v/>
      </c>
    </row>
    <row r="13">
      <c r="A13" s="22" t="inlineStr">
        <is>
          <t>Other Bets</t>
        </is>
      </c>
      <c r="C13" s="23" t="n">
        <v>170</v>
      </c>
      <c r="D13" s="23" t="n">
        <v>162</v>
      </c>
      <c r="E13" s="23" t="n">
        <v>155</v>
      </c>
      <c r="F13" s="23" t="n">
        <v>172</v>
      </c>
      <c r="G13" s="23" t="n">
        <v>135</v>
      </c>
      <c r="H13" s="23" t="n">
        <v>148</v>
      </c>
      <c r="I13" s="23" t="n">
        <v>178</v>
      </c>
      <c r="J13" s="23" t="n">
        <v>196</v>
      </c>
      <c r="K13" s="23" t="n">
        <v>198</v>
      </c>
      <c r="L13" s="23" t="n">
        <v>192</v>
      </c>
      <c r="M13" s="23" t="n">
        <v>182</v>
      </c>
      <c r="N13" s="23" t="n">
        <v>181</v>
      </c>
      <c r="O13" s="23" t="n">
        <v>440</v>
      </c>
      <c r="P13" s="23" t="n">
        <v>193</v>
      </c>
      <c r="Q13" s="23" t="n">
        <v>209</v>
      </c>
      <c r="R13" s="23" t="n">
        <v>226</v>
      </c>
      <c r="S13" s="23" t="n">
        <v>288</v>
      </c>
      <c r="T13" s="23" t="n">
        <v>285</v>
      </c>
      <c r="U13" s="23" t="n">
        <v>297</v>
      </c>
      <c r="V13" s="23" t="n">
        <v>657</v>
      </c>
      <c r="W13" s="23" t="n">
        <v>495</v>
      </c>
      <c r="X13" s="23" t="n">
        <v>365</v>
      </c>
      <c r="Y13" s="23" t="n">
        <v>388</v>
      </c>
      <c r="Z13" s="23" t="n">
        <v>400</v>
      </c>
      <c r="AA13" s="23" t="n">
        <v>450</v>
      </c>
      <c r="AB13" s="23" t="n">
        <v>373</v>
      </c>
      <c r="AC13" s="23" t="n">
        <v>344</v>
      </c>
      <c r="AD13" s="23" t="n">
        <v>370</v>
      </c>
      <c r="AE13" s="23" t="n">
        <v>411</v>
      </c>
      <c r="AF13" s="23" t="n">
        <v>382</v>
      </c>
      <c r="AG13" s="24">
        <f>AC13*(1+AG50)</f>
        <v/>
      </c>
      <c r="AH13" s="24">
        <f>AD13*(1+AH50)</f>
        <v/>
      </c>
      <c r="AI13" s="24">
        <f>AE13*(1+AI50)</f>
        <v/>
      </c>
      <c r="AJ13" s="24">
        <f>AF13*(1+AJ50)</f>
        <v/>
      </c>
      <c r="AK13" s="24">
        <f>AG13*(1+AK50)</f>
        <v/>
      </c>
      <c r="AL13" s="24">
        <f>AH13*(1+AL50)</f>
        <v/>
      </c>
    </row>
    <row r="14">
      <c r="A14" s="22" t="inlineStr">
        <is>
          <t>Hedging gains / (losses)</t>
        </is>
      </c>
      <c r="C14" s="23" t="n">
        <v>137</v>
      </c>
      <c r="D14" s="23" t="n">
        <v>108</v>
      </c>
      <c r="E14" s="23" t="n">
        <v>119</v>
      </c>
      <c r="F14" s="23" t="n">
        <v>91</v>
      </c>
      <c r="G14" s="23" t="n">
        <v>49</v>
      </c>
      <c r="H14" s="23" t="n">
        <v>151</v>
      </c>
      <c r="I14" s="23" t="n">
        <v>-22</v>
      </c>
      <c r="J14" s="23" t="n">
        <v>-2</v>
      </c>
      <c r="K14" s="23" t="n">
        <v>-109</v>
      </c>
      <c r="L14" s="23" t="n">
        <v>-7</v>
      </c>
      <c r="M14" s="23" t="n">
        <v>62</v>
      </c>
      <c r="N14" s="23" t="n">
        <v>203</v>
      </c>
      <c r="O14" s="23" t="n">
        <v>278</v>
      </c>
      <c r="P14" s="23" t="n">
        <v>375</v>
      </c>
      <c r="Q14" s="23" t="n">
        <v>638</v>
      </c>
      <c r="R14" s="23" t="n">
        <v>669</v>
      </c>
      <c r="S14" s="23" t="n">
        <v>84</v>
      </c>
      <c r="T14" s="23" t="n">
        <v>3</v>
      </c>
      <c r="U14" s="23" t="n">
        <v>-1</v>
      </c>
      <c r="V14" s="23" t="n">
        <v>150</v>
      </c>
      <c r="W14" s="23" t="n">
        <v>72</v>
      </c>
      <c r="X14" s="23" t="n">
        <v>102</v>
      </c>
      <c r="Y14" s="23" t="n">
        <v>17</v>
      </c>
      <c r="Z14" s="23" t="n">
        <v>20</v>
      </c>
      <c r="AA14" s="23" t="n">
        <v>260</v>
      </c>
      <c r="AB14" s="23" t="n">
        <v>-112</v>
      </c>
      <c r="AC14" s="23" t="n">
        <v>-207</v>
      </c>
      <c r="AD14" s="23" t="n">
        <v>-68</v>
      </c>
      <c r="AE14" s="23" t="n">
        <v>-180</v>
      </c>
      <c r="AF14" s="23" t="n">
        <v>106</v>
      </c>
      <c r="AG14" s="24" t="n">
        <v>0</v>
      </c>
      <c r="AH14" s="24" t="n">
        <v>0</v>
      </c>
      <c r="AI14" s="24" t="n">
        <v>0</v>
      </c>
      <c r="AJ14" s="24" t="n">
        <v>0</v>
      </c>
      <c r="AK14" s="24" t="n">
        <v>0</v>
      </c>
      <c r="AL14" s="24" t="n">
        <v>0</v>
      </c>
    </row>
    <row r="15">
      <c r="A15" s="6" t="inlineStr">
        <is>
          <t>Total revenues</t>
        </is>
      </c>
      <c r="C15" s="25">
        <f>SUM(C8:C14)</f>
        <v/>
      </c>
      <c r="D15" s="25">
        <f>SUM(D8:D14)</f>
        <v/>
      </c>
      <c r="E15" s="25">
        <f>SUM(E8:E14)</f>
        <v/>
      </c>
      <c r="F15" s="25">
        <f>SUM(F8:F14)</f>
        <v/>
      </c>
      <c r="G15" s="25">
        <f>SUM(G8:G14)</f>
        <v/>
      </c>
      <c r="H15" s="25">
        <f>SUM(H8:H14)</f>
        <v/>
      </c>
      <c r="I15" s="25">
        <f>SUM(I8:I14)</f>
        <v/>
      </c>
      <c r="J15" s="25">
        <f>SUM(J8:J14)</f>
        <v/>
      </c>
      <c r="K15" s="25">
        <f>SUM(K8:K14)</f>
        <v/>
      </c>
      <c r="L15" s="25">
        <f>SUM(L8:L14)</f>
        <v/>
      </c>
      <c r="M15" s="25">
        <f>SUM(M8:M14)</f>
        <v/>
      </c>
      <c r="N15" s="25">
        <f>SUM(N8:N14)</f>
        <v/>
      </c>
      <c r="O15" s="25">
        <f>SUM(O8:O14)</f>
        <v/>
      </c>
      <c r="P15" s="25">
        <f>SUM(P8:P14)</f>
        <v/>
      </c>
      <c r="Q15" s="25">
        <f>SUM(Q8:Q14)</f>
        <v/>
      </c>
      <c r="R15" s="25">
        <f>SUM(R8:R14)</f>
        <v/>
      </c>
      <c r="S15" s="25">
        <f>SUM(S8:S14)</f>
        <v/>
      </c>
      <c r="T15" s="25">
        <f>SUM(T8:T14)</f>
        <v/>
      </c>
      <c r="U15" s="25">
        <f>SUM(U8:U14)</f>
        <v/>
      </c>
      <c r="V15" s="25">
        <f>SUM(V8:V14)</f>
        <v/>
      </c>
      <c r="W15" s="25">
        <f>SUM(W8:W14)</f>
        <v/>
      </c>
      <c r="X15" s="25">
        <f>SUM(X8:X14)</f>
        <v/>
      </c>
      <c r="Y15" s="25">
        <f>SUM(Y8:Y14)</f>
        <v/>
      </c>
      <c r="Z15" s="25">
        <f>SUM(Z8:Z14)</f>
        <v/>
      </c>
      <c r="AA15" s="25">
        <f>SUM(AA8:AA14)</f>
        <v/>
      </c>
      <c r="AB15" s="25">
        <f>SUM(AB8:AB14)</f>
        <v/>
      </c>
      <c r="AC15" s="25">
        <f>SUM(AC8:AC14)</f>
        <v/>
      </c>
      <c r="AD15" s="25">
        <f>SUM(AD8:AD14)</f>
        <v/>
      </c>
      <c r="AE15" s="25">
        <f>SUM(AE8:AE14)</f>
        <v/>
      </c>
      <c r="AF15" s="25">
        <f>SUM(AF8:AF14)</f>
        <v/>
      </c>
      <c r="AG15" s="26">
        <f>SUM(AG8:AG14)</f>
        <v/>
      </c>
      <c r="AH15" s="26">
        <f>SUM(AH8:AH14)</f>
        <v/>
      </c>
      <c r="AI15" s="26">
        <f>SUM(AI8:AI14)</f>
        <v/>
      </c>
      <c r="AJ15" s="26">
        <f>SUM(AJ8:AJ14)</f>
        <v/>
      </c>
      <c r="AK15" s="26">
        <f>SUM(AK8:AK14)</f>
        <v/>
      </c>
      <c r="AL15" s="26">
        <f>SUM(AL8:AL14)</f>
        <v/>
      </c>
    </row>
    <row r="17">
      <c r="A17" s="6" t="inlineStr">
        <is>
          <t>YoY GROWTH</t>
        </is>
      </c>
    </row>
    <row r="18">
      <c r="A18" s="22" t="inlineStr">
        <is>
          <t>Search &amp; other</t>
        </is>
      </c>
      <c r="G18" s="27">
        <f>G8/C8-1</f>
        <v/>
      </c>
      <c r="H18" s="27">
        <f>H8/D8-1</f>
        <v/>
      </c>
      <c r="I18" s="27">
        <f>I8/E8-1</f>
        <v/>
      </c>
      <c r="J18" s="27">
        <f>J8/F8-1</f>
        <v/>
      </c>
      <c r="K18" s="27">
        <f>K8/G8-1</f>
        <v/>
      </c>
      <c r="L18" s="27">
        <f>L8/H8-1</f>
        <v/>
      </c>
      <c r="M18" s="27">
        <f>M8/I8-1</f>
        <v/>
      </c>
      <c r="N18" s="27">
        <f>N8/J8-1</f>
        <v/>
      </c>
      <c r="O18" s="27">
        <f>O8/K8-1</f>
        <v/>
      </c>
      <c r="P18" s="27">
        <f>P8/L8-1</f>
        <v/>
      </c>
      <c r="Q18" s="27">
        <f>Q8/M8-1</f>
        <v/>
      </c>
      <c r="R18" s="27">
        <f>R8/N8-1</f>
        <v/>
      </c>
      <c r="S18" s="27">
        <f>S8/O8-1</f>
        <v/>
      </c>
      <c r="T18" s="27">
        <f>T8/P8-1</f>
        <v/>
      </c>
      <c r="U18" s="27">
        <f>U8/Q8-1</f>
        <v/>
      </c>
      <c r="V18" s="27">
        <f>V8/R8-1</f>
        <v/>
      </c>
      <c r="W18" s="27">
        <f>W8/S8-1</f>
        <v/>
      </c>
      <c r="X18" s="27">
        <f>X8/T8-1</f>
        <v/>
      </c>
      <c r="Y18" s="27">
        <f>Y8/U8-1</f>
        <v/>
      </c>
      <c r="Z18" s="27">
        <f>Z8/V8-1</f>
        <v/>
      </c>
      <c r="AA18" s="27">
        <f>AA8/W8-1</f>
        <v/>
      </c>
      <c r="AB18" s="27">
        <f>AB8/X8-1</f>
        <v/>
      </c>
      <c r="AC18" s="27">
        <f>AC8/Y8-1</f>
        <v/>
      </c>
      <c r="AD18" s="27">
        <f>AD8/Z8-1</f>
        <v/>
      </c>
      <c r="AE18" s="27">
        <f>AE8/AA8-1</f>
        <v/>
      </c>
      <c r="AF18" s="27">
        <f>AF8/AB8-1</f>
        <v/>
      </c>
      <c r="AG18" s="28">
        <f>AG8/AC8-1</f>
        <v/>
      </c>
      <c r="AH18" s="28">
        <f>AH8/AD8-1</f>
        <v/>
      </c>
      <c r="AI18" s="28">
        <f>AI8/AE8-1</f>
        <v/>
      </c>
      <c r="AJ18" s="28">
        <f>AJ8/AF8-1</f>
        <v/>
      </c>
      <c r="AK18" s="28">
        <f>AK8/AG8-1</f>
        <v/>
      </c>
      <c r="AL18" s="28">
        <f>AL8/AH8-1</f>
        <v/>
      </c>
    </row>
    <row r="19">
      <c r="A19" s="22" t="inlineStr">
        <is>
          <t>YouTube ads</t>
        </is>
      </c>
      <c r="G19" s="27">
        <f>G9/C9-1</f>
        <v/>
      </c>
      <c r="H19" s="27">
        <f>H9/D9-1</f>
        <v/>
      </c>
      <c r="I19" s="27">
        <f>I9/E9-1</f>
        <v/>
      </c>
      <c r="J19" s="27">
        <f>J9/F9-1</f>
        <v/>
      </c>
      <c r="K19" s="27">
        <f>K9/G9-1</f>
        <v/>
      </c>
      <c r="L19" s="27">
        <f>L9/H9-1</f>
        <v/>
      </c>
      <c r="M19" s="27">
        <f>M9/I9-1</f>
        <v/>
      </c>
      <c r="N19" s="27">
        <f>N9/J9-1</f>
        <v/>
      </c>
      <c r="O19" s="27">
        <f>O9/K9-1</f>
        <v/>
      </c>
      <c r="P19" s="27">
        <f>P9/L9-1</f>
        <v/>
      </c>
      <c r="Q19" s="27">
        <f>Q9/M9-1</f>
        <v/>
      </c>
      <c r="R19" s="27">
        <f>R9/N9-1</f>
        <v/>
      </c>
      <c r="S19" s="27">
        <f>S9/O9-1</f>
        <v/>
      </c>
      <c r="T19" s="27">
        <f>T9/P9-1</f>
        <v/>
      </c>
      <c r="U19" s="27">
        <f>U9/Q9-1</f>
        <v/>
      </c>
      <c r="V19" s="27">
        <f>V9/R9-1</f>
        <v/>
      </c>
      <c r="W19" s="27">
        <f>W9/S9-1</f>
        <v/>
      </c>
      <c r="X19" s="27">
        <f>X9/T9-1</f>
        <v/>
      </c>
      <c r="Y19" s="27">
        <f>Y9/U9-1</f>
        <v/>
      </c>
      <c r="Z19" s="27">
        <f>Z9/V9-1</f>
        <v/>
      </c>
      <c r="AA19" s="27">
        <f>AA9/W9-1</f>
        <v/>
      </c>
      <c r="AB19" s="27">
        <f>AB9/X9-1</f>
        <v/>
      </c>
      <c r="AC19" s="27">
        <f>AC9/Y9-1</f>
        <v/>
      </c>
      <c r="AD19" s="27">
        <f>AD9/Z9-1</f>
        <v/>
      </c>
      <c r="AE19" s="27">
        <f>AE9/AA9-1</f>
        <v/>
      </c>
      <c r="AF19" s="27">
        <f>AF9/AB9-1</f>
        <v/>
      </c>
      <c r="AG19" s="28">
        <f>AG9/AC9-1</f>
        <v/>
      </c>
      <c r="AH19" s="28">
        <f>AH9/AD9-1</f>
        <v/>
      </c>
      <c r="AI19" s="28">
        <f>AI9/AE9-1</f>
        <v/>
      </c>
      <c r="AJ19" s="28">
        <f>AJ9/AF9-1</f>
        <v/>
      </c>
      <c r="AK19" s="28">
        <f>AK9/AG9-1</f>
        <v/>
      </c>
      <c r="AL19" s="28">
        <f>AL9/AH9-1</f>
        <v/>
      </c>
    </row>
    <row r="20">
      <c r="A20" s="22" t="inlineStr">
        <is>
          <t>Network</t>
        </is>
      </c>
      <c r="G20" s="27">
        <f>G10/C10-1</f>
        <v/>
      </c>
      <c r="H20" s="27">
        <f>H10/D10-1</f>
        <v/>
      </c>
      <c r="I20" s="27">
        <f>I10/E10-1</f>
        <v/>
      </c>
      <c r="J20" s="27">
        <f>J10/F10-1</f>
        <v/>
      </c>
      <c r="K20" s="27">
        <f>K10/G10-1</f>
        <v/>
      </c>
      <c r="L20" s="27">
        <f>L10/H10-1</f>
        <v/>
      </c>
      <c r="M20" s="27">
        <f>M10/I10-1</f>
        <v/>
      </c>
      <c r="N20" s="27">
        <f>N10/J10-1</f>
        <v/>
      </c>
      <c r="O20" s="27">
        <f>O10/K10-1</f>
        <v/>
      </c>
      <c r="P20" s="27">
        <f>P10/L10-1</f>
        <v/>
      </c>
      <c r="Q20" s="27">
        <f>Q10/M10-1</f>
        <v/>
      </c>
      <c r="R20" s="27">
        <f>R10/N10-1</f>
        <v/>
      </c>
      <c r="S20" s="27">
        <f>S10/O10-1</f>
        <v/>
      </c>
      <c r="T20" s="27">
        <f>T10/P10-1</f>
        <v/>
      </c>
      <c r="U20" s="27">
        <f>U10/Q10-1</f>
        <v/>
      </c>
      <c r="V20" s="27">
        <f>V10/R10-1</f>
        <v/>
      </c>
      <c r="W20" s="27">
        <f>W10/S10-1</f>
        <v/>
      </c>
      <c r="X20" s="27">
        <f>X10/T10-1</f>
        <v/>
      </c>
      <c r="Y20" s="27">
        <f>Y10/U10-1</f>
        <v/>
      </c>
      <c r="Z20" s="27">
        <f>Z10/V10-1</f>
        <v/>
      </c>
      <c r="AA20" s="27">
        <f>AA10/W10-1</f>
        <v/>
      </c>
      <c r="AB20" s="27">
        <f>AB10/X10-1</f>
        <v/>
      </c>
      <c r="AC20" s="27">
        <f>AC10/Y10-1</f>
        <v/>
      </c>
      <c r="AD20" s="27">
        <f>AD10/Z10-1</f>
        <v/>
      </c>
      <c r="AE20" s="27">
        <f>AE10/AA10-1</f>
        <v/>
      </c>
      <c r="AF20" s="27">
        <f>AF10/AB10-1</f>
        <v/>
      </c>
      <c r="AG20" s="28">
        <f>AG10/AC10-1</f>
        <v/>
      </c>
      <c r="AH20" s="28">
        <f>AH10/AD10-1</f>
        <v/>
      </c>
      <c r="AI20" s="28">
        <f>AI10/AE10-1</f>
        <v/>
      </c>
      <c r="AJ20" s="28">
        <f>AJ10/AF10-1</f>
        <v/>
      </c>
      <c r="AK20" s="28">
        <f>AK10/AG10-1</f>
        <v/>
      </c>
      <c r="AL20" s="28">
        <f>AL10/AH10-1</f>
        <v/>
      </c>
    </row>
    <row r="21">
      <c r="A21" s="22" t="inlineStr">
        <is>
          <t>Subscriptions, platforms &amp; devices</t>
        </is>
      </c>
      <c r="G21" s="27">
        <f>G11/C11-1</f>
        <v/>
      </c>
      <c r="H21" s="27">
        <f>H11/D11-1</f>
        <v/>
      </c>
      <c r="I21" s="27">
        <f>I11/E11-1</f>
        <v/>
      </c>
      <c r="J21" s="27">
        <f>J11/F11-1</f>
        <v/>
      </c>
      <c r="K21" s="27">
        <f>K11/G11-1</f>
        <v/>
      </c>
      <c r="L21" s="27">
        <f>L11/H11-1</f>
        <v/>
      </c>
      <c r="M21" s="27">
        <f>M11/I11-1</f>
        <v/>
      </c>
      <c r="N21" s="27">
        <f>N11/J11-1</f>
        <v/>
      </c>
      <c r="O21" s="27">
        <f>O11/K11-1</f>
        <v/>
      </c>
      <c r="P21" s="27">
        <f>P11/L11-1</f>
        <v/>
      </c>
      <c r="Q21" s="27">
        <f>Q11/M11-1</f>
        <v/>
      </c>
      <c r="R21" s="27">
        <f>R11/N11-1</f>
        <v/>
      </c>
      <c r="S21" s="27">
        <f>S11/O11-1</f>
        <v/>
      </c>
      <c r="T21" s="27">
        <f>T11/P11-1</f>
        <v/>
      </c>
      <c r="U21" s="27">
        <f>U11/Q11-1</f>
        <v/>
      </c>
      <c r="V21" s="27">
        <f>V11/R11-1</f>
        <v/>
      </c>
      <c r="W21" s="27">
        <f>W11/S11-1</f>
        <v/>
      </c>
      <c r="X21" s="27">
        <f>X11/T11-1</f>
        <v/>
      </c>
      <c r="Y21" s="27">
        <f>Y11/U11-1</f>
        <v/>
      </c>
      <c r="Z21" s="27">
        <f>Z11/V11-1</f>
        <v/>
      </c>
      <c r="AA21" s="27">
        <f>AA11/W11-1</f>
        <v/>
      </c>
      <c r="AB21" s="27">
        <f>AB11/X11-1</f>
        <v/>
      </c>
      <c r="AC21" s="27">
        <f>AC11/Y11-1</f>
        <v/>
      </c>
      <c r="AD21" s="27">
        <f>AD11/Z11-1</f>
        <v/>
      </c>
      <c r="AE21" s="27">
        <f>AE11/AA11-1</f>
        <v/>
      </c>
      <c r="AF21" s="27">
        <f>AF11/AB11-1</f>
        <v/>
      </c>
      <c r="AG21" s="28">
        <f>AG11/AC11-1</f>
        <v/>
      </c>
      <c r="AH21" s="28">
        <f>AH11/AD11-1</f>
        <v/>
      </c>
      <c r="AI21" s="28">
        <f>AI11/AE11-1</f>
        <v/>
      </c>
      <c r="AJ21" s="28">
        <f>AJ11/AF11-1</f>
        <v/>
      </c>
      <c r="AK21" s="28">
        <f>AK11/AG11-1</f>
        <v/>
      </c>
      <c r="AL21" s="28">
        <f>AL11/AH11-1</f>
        <v/>
      </c>
    </row>
    <row r="22">
      <c r="A22" s="22" t="inlineStr">
        <is>
          <t>Google Cloud</t>
        </is>
      </c>
      <c r="G22" s="27">
        <f>G12/C12-1</f>
        <v/>
      </c>
      <c r="H22" s="27">
        <f>H12/D12-1</f>
        <v/>
      </c>
      <c r="I22" s="27">
        <f>I12/E12-1</f>
        <v/>
      </c>
      <c r="J22" s="27">
        <f>J12/F12-1</f>
        <v/>
      </c>
      <c r="K22" s="27">
        <f>K12/G12-1</f>
        <v/>
      </c>
      <c r="L22" s="27">
        <f>L12/H12-1</f>
        <v/>
      </c>
      <c r="M22" s="27">
        <f>M12/I12-1</f>
        <v/>
      </c>
      <c r="N22" s="27">
        <f>N12/J12-1</f>
        <v/>
      </c>
      <c r="O22" s="27">
        <f>O12/K12-1</f>
        <v/>
      </c>
      <c r="P22" s="27">
        <f>P12/L12-1</f>
        <v/>
      </c>
      <c r="Q22" s="27">
        <f>Q12/M12-1</f>
        <v/>
      </c>
      <c r="R22" s="27">
        <f>R12/N12-1</f>
        <v/>
      </c>
      <c r="S22" s="27">
        <f>S12/O12-1</f>
        <v/>
      </c>
      <c r="T22" s="27">
        <f>T12/P12-1</f>
        <v/>
      </c>
      <c r="U22" s="27">
        <f>U12/Q12-1</f>
        <v/>
      </c>
      <c r="V22" s="27">
        <f>V12/R12-1</f>
        <v/>
      </c>
      <c r="W22" s="27">
        <f>W12/S12-1</f>
        <v/>
      </c>
      <c r="X22" s="27">
        <f>X12/T12-1</f>
        <v/>
      </c>
      <c r="Y22" s="27">
        <f>Y12/U12-1</f>
        <v/>
      </c>
      <c r="Z22" s="27">
        <f>Z12/V12-1</f>
        <v/>
      </c>
      <c r="AA22" s="27">
        <f>AA12/W12-1</f>
        <v/>
      </c>
      <c r="AB22" s="27">
        <f>AB12/X12-1</f>
        <v/>
      </c>
      <c r="AC22" s="27">
        <f>AC12/Y12-1</f>
        <v/>
      </c>
      <c r="AD22" s="27">
        <f>AD12/Z12-1</f>
        <v/>
      </c>
      <c r="AE22" s="27">
        <f>AE12/AA12-1</f>
        <v/>
      </c>
      <c r="AF22" s="27">
        <f>AF12/AB12-1</f>
        <v/>
      </c>
      <c r="AG22" s="28">
        <f>AG12/AC12-1</f>
        <v/>
      </c>
      <c r="AH22" s="28">
        <f>AH12/AD12-1</f>
        <v/>
      </c>
      <c r="AI22" s="28">
        <f>AI12/AE12-1</f>
        <v/>
      </c>
      <c r="AJ22" s="28">
        <f>AJ12/AF12-1</f>
        <v/>
      </c>
      <c r="AK22" s="28">
        <f>AK12/AG12-1</f>
        <v/>
      </c>
      <c r="AL22" s="28">
        <f>AL12/AH12-1</f>
        <v/>
      </c>
    </row>
    <row r="23">
      <c r="A23" s="22" t="inlineStr">
        <is>
          <t>Other Bets</t>
        </is>
      </c>
      <c r="G23" s="27">
        <f>G13/C13-1</f>
        <v/>
      </c>
      <c r="H23" s="27">
        <f>H13/D13-1</f>
        <v/>
      </c>
      <c r="I23" s="27">
        <f>I13/E13-1</f>
        <v/>
      </c>
      <c r="J23" s="27">
        <f>J13/F13-1</f>
        <v/>
      </c>
      <c r="K23" s="27">
        <f>K13/G13-1</f>
        <v/>
      </c>
      <c r="L23" s="27">
        <f>L13/H13-1</f>
        <v/>
      </c>
      <c r="M23" s="27">
        <f>M13/I13-1</f>
        <v/>
      </c>
      <c r="N23" s="27">
        <f>N13/J13-1</f>
        <v/>
      </c>
      <c r="O23" s="27">
        <f>O13/K13-1</f>
        <v/>
      </c>
      <c r="P23" s="27">
        <f>P13/L13-1</f>
        <v/>
      </c>
      <c r="Q23" s="27">
        <f>Q13/M13-1</f>
        <v/>
      </c>
      <c r="R23" s="27">
        <f>R13/N13-1</f>
        <v/>
      </c>
      <c r="S23" s="27">
        <f>S13/O13-1</f>
        <v/>
      </c>
      <c r="T23" s="27">
        <f>T13/P13-1</f>
        <v/>
      </c>
      <c r="U23" s="27">
        <f>U13/Q13-1</f>
        <v/>
      </c>
      <c r="V23" s="27">
        <f>V13/R13-1</f>
        <v/>
      </c>
      <c r="W23" s="27">
        <f>W13/S13-1</f>
        <v/>
      </c>
      <c r="X23" s="27">
        <f>X13/T13-1</f>
        <v/>
      </c>
      <c r="Y23" s="27">
        <f>Y13/U13-1</f>
        <v/>
      </c>
      <c r="Z23" s="27">
        <f>Z13/V13-1</f>
        <v/>
      </c>
      <c r="AA23" s="27">
        <f>AA13/W13-1</f>
        <v/>
      </c>
      <c r="AB23" s="27">
        <f>AB13/X13-1</f>
        <v/>
      </c>
      <c r="AC23" s="27">
        <f>AC13/Y13-1</f>
        <v/>
      </c>
      <c r="AD23" s="27">
        <f>AD13/Z13-1</f>
        <v/>
      </c>
      <c r="AE23" s="27">
        <f>AE13/AA13-1</f>
        <v/>
      </c>
      <c r="AF23" s="27">
        <f>AF13/AB13-1</f>
        <v/>
      </c>
      <c r="AG23" s="28">
        <f>AG13/AC13-1</f>
        <v/>
      </c>
      <c r="AH23" s="28">
        <f>AH13/AD13-1</f>
        <v/>
      </c>
      <c r="AI23" s="28">
        <f>AI13/AE13-1</f>
        <v/>
      </c>
      <c r="AJ23" s="28">
        <f>AJ13/AF13-1</f>
        <v/>
      </c>
      <c r="AK23" s="28">
        <f>AK13/AG13-1</f>
        <v/>
      </c>
      <c r="AL23" s="28">
        <f>AL13/AH13-1</f>
        <v/>
      </c>
    </row>
    <row r="24">
      <c r="A24" s="6" t="inlineStr">
        <is>
          <t>Total revenues</t>
        </is>
      </c>
      <c r="G24" s="29">
        <f>G15/C15-1</f>
        <v/>
      </c>
      <c r="H24" s="29">
        <f>H15/D15-1</f>
        <v/>
      </c>
      <c r="I24" s="29">
        <f>I15/E15-1</f>
        <v/>
      </c>
      <c r="J24" s="29">
        <f>J15/F15-1</f>
        <v/>
      </c>
      <c r="K24" s="29">
        <f>K15/G15-1</f>
        <v/>
      </c>
      <c r="L24" s="29">
        <f>L15/H15-1</f>
        <v/>
      </c>
      <c r="M24" s="29">
        <f>M15/I15-1</f>
        <v/>
      </c>
      <c r="N24" s="29">
        <f>N15/J15-1</f>
        <v/>
      </c>
      <c r="O24" s="29">
        <f>O15/K15-1</f>
        <v/>
      </c>
      <c r="P24" s="29">
        <f>P15/L15-1</f>
        <v/>
      </c>
      <c r="Q24" s="29">
        <f>Q15/M15-1</f>
        <v/>
      </c>
      <c r="R24" s="29">
        <f>R15/N15-1</f>
        <v/>
      </c>
      <c r="S24" s="29">
        <f>S15/O15-1</f>
        <v/>
      </c>
      <c r="T24" s="29">
        <f>T15/P15-1</f>
        <v/>
      </c>
      <c r="U24" s="29">
        <f>U15/Q15-1</f>
        <v/>
      </c>
      <c r="V24" s="29">
        <f>V15/R15-1</f>
        <v/>
      </c>
      <c r="W24" s="29">
        <f>W15/S15-1</f>
        <v/>
      </c>
      <c r="X24" s="29">
        <f>X15/T15-1</f>
        <v/>
      </c>
      <c r="Y24" s="29">
        <f>Y15/U15-1</f>
        <v/>
      </c>
      <c r="Z24" s="29">
        <f>Z15/V15-1</f>
        <v/>
      </c>
      <c r="AA24" s="29">
        <f>AA15/W15-1</f>
        <v/>
      </c>
      <c r="AB24" s="29">
        <f>AB15/X15-1</f>
        <v/>
      </c>
      <c r="AC24" s="29">
        <f>AC15/Y15-1</f>
        <v/>
      </c>
      <c r="AD24" s="29">
        <f>AD15/Z15-1</f>
        <v/>
      </c>
      <c r="AE24" s="29">
        <f>AE15/AA15-1</f>
        <v/>
      </c>
      <c r="AF24" s="29">
        <f>AF15/AB15-1</f>
        <v/>
      </c>
      <c r="AG24" s="30">
        <f>AG15/AC15-1</f>
        <v/>
      </c>
      <c r="AH24" s="30">
        <f>AH15/AD15-1</f>
        <v/>
      </c>
      <c r="AI24" s="30">
        <f>AI15/AE15-1</f>
        <v/>
      </c>
      <c r="AJ24" s="30">
        <f>AJ15/AF15-1</f>
        <v/>
      </c>
      <c r="AK24" s="30">
        <f>AK15/AG15-1</f>
        <v/>
      </c>
      <c r="AL24" s="30">
        <f>AL15/AH15-1</f>
        <v/>
      </c>
    </row>
    <row r="26">
      <c r="A26" s="6" t="inlineStr">
        <is>
          <t>PROFIT &amp; LOSS</t>
        </is>
      </c>
    </row>
    <row r="27">
      <c r="A27" s="22" t="inlineStr">
        <is>
          <t>Cost of revenues</t>
        </is>
      </c>
      <c r="C27" s="23" t="n">
        <v>16012</v>
      </c>
      <c r="D27" s="23" t="n">
        <v>17296</v>
      </c>
      <c r="E27" s="23" t="n">
        <v>17568</v>
      </c>
      <c r="F27" s="23" t="n">
        <v>21020</v>
      </c>
      <c r="G27" s="23" t="n">
        <v>18982</v>
      </c>
      <c r="H27" s="23" t="n">
        <v>18553</v>
      </c>
      <c r="I27" s="23" t="n">
        <v>21117</v>
      </c>
      <c r="J27" s="23" t="n">
        <v>26080</v>
      </c>
      <c r="K27" s="23" t="n">
        <v>24103</v>
      </c>
      <c r="L27" s="23" t="n">
        <v>26227</v>
      </c>
      <c r="M27" s="23" t="n">
        <v>27621</v>
      </c>
      <c r="N27" s="23" t="n">
        <v>32988</v>
      </c>
      <c r="O27" s="23" t="n">
        <v>29599</v>
      </c>
      <c r="P27" s="23" t="n">
        <v>30104</v>
      </c>
      <c r="Q27" s="23" t="n">
        <v>31158</v>
      </c>
      <c r="R27" s="23" t="n">
        <v>35342</v>
      </c>
      <c r="S27" s="23" t="n">
        <v>30612</v>
      </c>
      <c r="T27" s="23" t="n">
        <v>31916</v>
      </c>
      <c r="U27" s="23" t="n">
        <v>33229</v>
      </c>
      <c r="V27" s="23" t="n">
        <v>37575</v>
      </c>
      <c r="W27" s="23" t="n">
        <v>33712</v>
      </c>
      <c r="X27" s="23" t="n">
        <v>35507</v>
      </c>
      <c r="Y27" s="23" t="n">
        <v>36474</v>
      </c>
      <c r="Z27" s="23" t="n">
        <v>40613</v>
      </c>
      <c r="AA27" s="23" t="n">
        <v>36361</v>
      </c>
      <c r="AB27" s="23" t="n">
        <v>39039</v>
      </c>
      <c r="AC27" s="23" t="n">
        <v>41369</v>
      </c>
      <c r="AD27" s="23" t="n">
        <v>45766</v>
      </c>
      <c r="AE27" s="23" t="n">
        <v>41271</v>
      </c>
      <c r="AF27" s="23" t="n">
        <v>45943</v>
      </c>
      <c r="AG27" s="24">
        <f>AG15*AG39</f>
        <v/>
      </c>
      <c r="AH27" s="24">
        <f>AH15*AH39</f>
        <v/>
      </c>
      <c r="AI27" s="24">
        <f>AI15*AI39</f>
        <v/>
      </c>
      <c r="AJ27" s="24">
        <f>AJ15*AJ39</f>
        <v/>
      </c>
      <c r="AK27" s="24">
        <f>AK15*AK39</f>
        <v/>
      </c>
      <c r="AL27" s="24">
        <f>AL15*AL39</f>
        <v/>
      </c>
    </row>
    <row r="28">
      <c r="A28" s="6" t="inlineStr">
        <is>
          <t>Gross profit</t>
        </is>
      </c>
      <c r="C28" s="25">
        <f>C15-C27</f>
        <v/>
      </c>
      <c r="D28" s="25">
        <f>D15-D27</f>
        <v/>
      </c>
      <c r="E28" s="25">
        <f>E15-E27</f>
        <v/>
      </c>
      <c r="F28" s="25">
        <f>F15-F27</f>
        <v/>
      </c>
      <c r="G28" s="25">
        <f>G15-G27</f>
        <v/>
      </c>
      <c r="H28" s="25">
        <f>H15-H27</f>
        <v/>
      </c>
      <c r="I28" s="25">
        <f>I15-I27</f>
        <v/>
      </c>
      <c r="J28" s="25">
        <f>J15-J27</f>
        <v/>
      </c>
      <c r="K28" s="25">
        <f>K15-K27</f>
        <v/>
      </c>
      <c r="L28" s="25">
        <f>L15-L27</f>
        <v/>
      </c>
      <c r="M28" s="25">
        <f>M15-M27</f>
        <v/>
      </c>
      <c r="N28" s="25">
        <f>N15-N27</f>
        <v/>
      </c>
      <c r="O28" s="25">
        <f>O15-O27</f>
        <v/>
      </c>
      <c r="P28" s="25">
        <f>P15-P27</f>
        <v/>
      </c>
      <c r="Q28" s="25">
        <f>Q15-Q27</f>
        <v/>
      </c>
      <c r="R28" s="25">
        <f>R15-R27</f>
        <v/>
      </c>
      <c r="S28" s="25">
        <f>S15-S27</f>
        <v/>
      </c>
      <c r="T28" s="25">
        <f>T15-T27</f>
        <v/>
      </c>
      <c r="U28" s="25">
        <f>U15-U27</f>
        <v/>
      </c>
      <c r="V28" s="25">
        <f>V15-V27</f>
        <v/>
      </c>
      <c r="W28" s="25">
        <f>W15-W27</f>
        <v/>
      </c>
      <c r="X28" s="25">
        <f>X15-X27</f>
        <v/>
      </c>
      <c r="Y28" s="25">
        <f>Y15-Y27</f>
        <v/>
      </c>
      <c r="Z28" s="25">
        <f>Z15-Z27</f>
        <v/>
      </c>
      <c r="AA28" s="25">
        <f>AA15-AA27</f>
        <v/>
      </c>
      <c r="AB28" s="25">
        <f>AB15-AB27</f>
        <v/>
      </c>
      <c r="AC28" s="25">
        <f>AC15-AC27</f>
        <v/>
      </c>
      <c r="AD28" s="25">
        <f>AD15-AD27</f>
        <v/>
      </c>
      <c r="AE28" s="25">
        <f>AE15-AE27</f>
        <v/>
      </c>
      <c r="AF28" s="25">
        <f>AF15-AF27</f>
        <v/>
      </c>
      <c r="AG28" s="26">
        <f>AG15-AG27</f>
        <v/>
      </c>
      <c r="AH28" s="26">
        <f>AH15-AH27</f>
        <v/>
      </c>
      <c r="AI28" s="26">
        <f>AI15-AI27</f>
        <v/>
      </c>
      <c r="AJ28" s="26">
        <f>AJ15-AJ27</f>
        <v/>
      </c>
      <c r="AK28" s="26">
        <f>AK15-AK27</f>
        <v/>
      </c>
      <c r="AL28" s="26">
        <f>AL15-AL27</f>
        <v/>
      </c>
    </row>
    <row r="29">
      <c r="A29" s="4" t="inlineStr">
        <is>
          <t xml:space="preserve">  Gross margin</t>
        </is>
      </c>
      <c r="C29" s="27">
        <f>C28/C15</f>
        <v/>
      </c>
      <c r="D29" s="27">
        <f>D28/D15</f>
        <v/>
      </c>
      <c r="E29" s="27">
        <f>E28/E15</f>
        <v/>
      </c>
      <c r="F29" s="27">
        <f>F28/F15</f>
        <v/>
      </c>
      <c r="G29" s="27">
        <f>G28/G15</f>
        <v/>
      </c>
      <c r="H29" s="27">
        <f>H28/H15</f>
        <v/>
      </c>
      <c r="I29" s="27">
        <f>I28/I15</f>
        <v/>
      </c>
      <c r="J29" s="27">
        <f>J28/J15</f>
        <v/>
      </c>
      <c r="K29" s="27">
        <f>K28/K15</f>
        <v/>
      </c>
      <c r="L29" s="27">
        <f>L28/L15</f>
        <v/>
      </c>
      <c r="M29" s="27">
        <f>M28/M15</f>
        <v/>
      </c>
      <c r="N29" s="27">
        <f>N28/N15</f>
        <v/>
      </c>
      <c r="O29" s="27">
        <f>O28/O15</f>
        <v/>
      </c>
      <c r="P29" s="27">
        <f>P28/P15</f>
        <v/>
      </c>
      <c r="Q29" s="27">
        <f>Q28/Q15</f>
        <v/>
      </c>
      <c r="R29" s="27">
        <f>R28/R15</f>
        <v/>
      </c>
      <c r="S29" s="27">
        <f>S28/S15</f>
        <v/>
      </c>
      <c r="T29" s="27">
        <f>T28/T15</f>
        <v/>
      </c>
      <c r="U29" s="27">
        <f>U28/U15</f>
        <v/>
      </c>
      <c r="V29" s="27">
        <f>V28/V15</f>
        <v/>
      </c>
      <c r="W29" s="27">
        <f>W28/W15</f>
        <v/>
      </c>
      <c r="X29" s="27">
        <f>X28/X15</f>
        <v/>
      </c>
      <c r="Y29" s="27">
        <f>Y28/Y15</f>
        <v/>
      </c>
      <c r="Z29" s="27">
        <f>Z28/Z15</f>
        <v/>
      </c>
      <c r="AA29" s="27">
        <f>AA28/AA15</f>
        <v/>
      </c>
      <c r="AB29" s="27">
        <f>AB28/AB15</f>
        <v/>
      </c>
      <c r="AC29" s="27">
        <f>AC28/AC15</f>
        <v/>
      </c>
      <c r="AD29" s="27">
        <f>AD28/AD15</f>
        <v/>
      </c>
      <c r="AE29" s="27">
        <f>AE28/AE15</f>
        <v/>
      </c>
      <c r="AF29" s="27">
        <f>AF28/AF15</f>
        <v/>
      </c>
      <c r="AG29" s="28">
        <f>AG28/AG15</f>
        <v/>
      </c>
      <c r="AH29" s="28">
        <f>AH28/AH15</f>
        <v/>
      </c>
      <c r="AI29" s="28">
        <f>AI28/AI15</f>
        <v/>
      </c>
      <c r="AJ29" s="28">
        <f>AJ28/AJ15</f>
        <v/>
      </c>
      <c r="AK29" s="28">
        <f>AK28/AK15</f>
        <v/>
      </c>
      <c r="AL29" s="28">
        <f>AL28/AL15</f>
        <v/>
      </c>
    </row>
    <row r="30">
      <c r="A30" s="22" t="inlineStr">
        <is>
          <t>Research &amp; development</t>
        </is>
      </c>
      <c r="C30" s="23" t="n">
        <v>6029</v>
      </c>
      <c r="D30" s="23" t="n">
        <v>6213</v>
      </c>
      <c r="E30" s="23" t="n">
        <v>6554</v>
      </c>
      <c r="F30" s="23" t="n">
        <v>7222</v>
      </c>
      <c r="G30" s="23" t="n">
        <v>6820</v>
      </c>
      <c r="H30" s="23" t="n">
        <v>6875</v>
      </c>
      <c r="I30" s="23" t="n">
        <v>6856</v>
      </c>
      <c r="J30" s="23" t="n">
        <v>7022</v>
      </c>
      <c r="K30" s="23" t="n">
        <v>7485</v>
      </c>
      <c r="L30" s="23" t="n">
        <v>7675</v>
      </c>
      <c r="M30" s="23" t="n">
        <v>7694</v>
      </c>
      <c r="N30" s="23" t="n">
        <v>8708</v>
      </c>
      <c r="O30" s="23" t="n">
        <v>9119</v>
      </c>
      <c r="P30" s="23" t="n">
        <v>9841</v>
      </c>
      <c r="Q30" s="23" t="n">
        <v>10273</v>
      </c>
      <c r="R30" s="23" t="n">
        <v>10267</v>
      </c>
      <c r="S30" s="23" t="n">
        <v>11468</v>
      </c>
      <c r="T30" s="23" t="n">
        <v>10588</v>
      </c>
      <c r="U30" s="23" t="n">
        <v>11258</v>
      </c>
      <c r="V30" s="23" t="n">
        <v>12113</v>
      </c>
      <c r="W30" s="23" t="n">
        <v>11903</v>
      </c>
      <c r="X30" s="23" t="n">
        <v>11860</v>
      </c>
      <c r="Y30" s="23" t="n">
        <v>12447</v>
      </c>
      <c r="Z30" s="23" t="n">
        <v>13116</v>
      </c>
      <c r="AA30" s="23" t="n">
        <v>13556</v>
      </c>
      <c r="AB30" s="23" t="n">
        <v>13808</v>
      </c>
      <c r="AC30" s="23" t="n">
        <v>15151</v>
      </c>
      <c r="AD30" s="23" t="n">
        <v>18572</v>
      </c>
      <c r="AE30" s="23" t="n">
        <v>17032</v>
      </c>
      <c r="AF30" s="23" t="n">
        <v>18219</v>
      </c>
      <c r="AG30" s="24">
        <f>AG15*AG40</f>
        <v/>
      </c>
      <c r="AH30" s="24">
        <f>AH15*AH40</f>
        <v/>
      </c>
      <c r="AI30" s="24">
        <f>AI15*AI40</f>
        <v/>
      </c>
      <c r="AJ30" s="24">
        <f>AJ15*AJ40</f>
        <v/>
      </c>
      <c r="AK30" s="24">
        <f>AK15*AK40</f>
        <v/>
      </c>
      <c r="AL30" s="24">
        <f>AL15*AL40</f>
        <v/>
      </c>
    </row>
    <row r="31">
      <c r="A31" s="22" t="inlineStr">
        <is>
          <t>Sales &amp; marketing</t>
        </is>
      </c>
      <c r="C31" s="23" t="n">
        <v>3905</v>
      </c>
      <c r="D31" s="23" t="n">
        <v>4212</v>
      </c>
      <c r="E31" s="23" t="n">
        <v>4609</v>
      </c>
      <c r="F31" s="23" t="n">
        <v>5738</v>
      </c>
      <c r="G31" s="23" t="n">
        <v>4500</v>
      </c>
      <c r="H31" s="23" t="n">
        <v>3901</v>
      </c>
      <c r="I31" s="23" t="n">
        <v>4231</v>
      </c>
      <c r="J31" s="23" t="n">
        <v>5314</v>
      </c>
      <c r="K31" s="23" t="n">
        <v>4516</v>
      </c>
      <c r="L31" s="23" t="n">
        <v>5276</v>
      </c>
      <c r="M31" s="23" t="n">
        <v>5516</v>
      </c>
      <c r="N31" s="23" t="n">
        <v>7604</v>
      </c>
      <c r="O31" s="23" t="n">
        <v>5825</v>
      </c>
      <c r="P31" s="23" t="n">
        <v>6630</v>
      </c>
      <c r="Q31" s="23" t="n">
        <v>6929</v>
      </c>
      <c r="R31" s="23" t="n">
        <v>7183</v>
      </c>
      <c r="S31" s="23" t="n">
        <v>6533</v>
      </c>
      <c r="T31" s="23" t="n">
        <v>6781</v>
      </c>
      <c r="U31" s="23" t="n">
        <v>6884</v>
      </c>
      <c r="V31" s="23" t="n">
        <v>7719</v>
      </c>
      <c r="W31" s="23" t="n">
        <v>6426</v>
      </c>
      <c r="X31" s="23" t="n">
        <v>6792</v>
      </c>
      <c r="Y31" s="23" t="n">
        <v>7227</v>
      </c>
      <c r="Z31" s="23" t="n">
        <v>7363</v>
      </c>
      <c r="AA31" s="23" t="n">
        <v>6172</v>
      </c>
      <c r="AB31" s="23" t="n">
        <v>7101</v>
      </c>
      <c r="AC31" s="23" t="n">
        <v>7205</v>
      </c>
      <c r="AD31" s="23" t="n">
        <v>8215</v>
      </c>
      <c r="AE31" s="23" t="n">
        <v>7606</v>
      </c>
      <c r="AF31" s="23" t="n">
        <v>8403</v>
      </c>
      <c r="AG31" s="24">
        <f>AG15*AG41</f>
        <v/>
      </c>
      <c r="AH31" s="24">
        <f>AH15*AH41</f>
        <v/>
      </c>
      <c r="AI31" s="24">
        <f>AI15*AI41</f>
        <v/>
      </c>
      <c r="AJ31" s="24">
        <f>AJ15*AJ41</f>
        <v/>
      </c>
      <c r="AK31" s="24">
        <f>AK15*AK41</f>
        <v/>
      </c>
      <c r="AL31" s="24">
        <f>AL15*AL41</f>
        <v/>
      </c>
    </row>
    <row r="32">
      <c r="A32" s="22" t="inlineStr">
        <is>
          <t>General &amp; administrative</t>
        </is>
      </c>
      <c r="C32" s="23" t="n">
        <v>2088</v>
      </c>
      <c r="D32" s="23" t="n">
        <v>2043</v>
      </c>
      <c r="E32" s="23" t="n">
        <v>2591</v>
      </c>
      <c r="F32" s="23" t="n">
        <v>2829</v>
      </c>
      <c r="G32" s="23" t="n">
        <v>2880</v>
      </c>
      <c r="H32" s="23" t="n">
        <v>2585</v>
      </c>
      <c r="I32" s="23" t="n">
        <v>2756</v>
      </c>
      <c r="J32" s="23" t="n">
        <v>2831</v>
      </c>
      <c r="K32" s="23" t="n">
        <v>2773</v>
      </c>
      <c r="L32" s="23" t="n">
        <v>3341</v>
      </c>
      <c r="M32" s="23" t="n">
        <v>3256</v>
      </c>
      <c r="N32" s="23" t="n">
        <v>4140</v>
      </c>
      <c r="O32" s="23" t="n">
        <v>3374</v>
      </c>
      <c r="P32" s="23" t="n">
        <v>3657</v>
      </c>
      <c r="Q32" s="23" t="n">
        <v>3597</v>
      </c>
      <c r="R32" s="23" t="n">
        <v>5096</v>
      </c>
      <c r="S32" s="23" t="n">
        <v>3759</v>
      </c>
      <c r="T32" s="23" t="n">
        <v>3481</v>
      </c>
      <c r="U32" s="23" t="n">
        <v>3979</v>
      </c>
      <c r="V32" s="23" t="n">
        <v>5206</v>
      </c>
      <c r="W32" s="23" t="n">
        <v>3026</v>
      </c>
      <c r="X32" s="23" t="n">
        <v>3158</v>
      </c>
      <c r="Y32" s="23" t="n">
        <v>3599</v>
      </c>
      <c r="Z32" s="23" t="n">
        <v>4405</v>
      </c>
      <c r="AA32" s="23" t="n">
        <v>3539</v>
      </c>
      <c r="AB32" s="23" t="n">
        <v>5209</v>
      </c>
      <c r="AC32" s="23" t="n">
        <v>7393</v>
      </c>
      <c r="AD32" s="23" t="n">
        <v>5341</v>
      </c>
      <c r="AE32" s="23" t="n">
        <v>4291</v>
      </c>
      <c r="AF32" s="23" t="n">
        <v>6461</v>
      </c>
      <c r="AG32" s="24">
        <f>AG15*AG42</f>
        <v/>
      </c>
      <c r="AH32" s="24">
        <f>AH15*AH42</f>
        <v/>
      </c>
      <c r="AI32" s="24">
        <f>AI15*AI42</f>
        <v/>
      </c>
      <c r="AJ32" s="24">
        <f>AJ15*AJ42</f>
        <v/>
      </c>
      <c r="AK32" s="24">
        <f>AK15*AK42</f>
        <v/>
      </c>
      <c r="AL32" s="24">
        <f>AL15*AL42</f>
        <v/>
      </c>
    </row>
    <row r="33">
      <c r="A33" s="22" t="inlineStr">
        <is>
          <t>European Commission fines</t>
        </is>
      </c>
      <c r="C33" s="23" t="n">
        <v>1697</v>
      </c>
      <c r="D33" s="23" t="n">
        <v>0</v>
      </c>
      <c r="E33" s="23" t="n">
        <v>0</v>
      </c>
      <c r="F33" s="23" t="n">
        <v>0</v>
      </c>
      <c r="G33" s="23" t="n">
        <v>0</v>
      </c>
      <c r="H33" s="23" t="n">
        <v>0</v>
      </c>
      <c r="I33" s="23" t="n">
        <v>0</v>
      </c>
      <c r="J33" s="23" t="n">
        <v>0</v>
      </c>
      <c r="K33" s="23" t="n">
        <v>0</v>
      </c>
      <c r="L33" s="23" t="n">
        <v>0</v>
      </c>
      <c r="M33" s="23" t="n">
        <v>0</v>
      </c>
      <c r="N33" s="23" t="n">
        <v>0</v>
      </c>
      <c r="O33" s="23" t="n">
        <v>0</v>
      </c>
      <c r="P33" s="23" t="n">
        <v>0</v>
      </c>
      <c r="Q33" s="23" t="n">
        <v>0</v>
      </c>
      <c r="R33" s="23" t="n">
        <v>0</v>
      </c>
      <c r="S33" s="23" t="n">
        <v>0</v>
      </c>
      <c r="T33" s="23" t="n">
        <v>0</v>
      </c>
      <c r="U33" s="23" t="n">
        <v>0</v>
      </c>
      <c r="V33" s="23" t="n">
        <v>0</v>
      </c>
      <c r="W33" s="23" t="n">
        <v>0</v>
      </c>
      <c r="X33" s="23" t="n">
        <v>0</v>
      </c>
      <c r="Y33" s="23" t="n">
        <v>0</v>
      </c>
      <c r="Z33" s="23" t="n">
        <v>0</v>
      </c>
      <c r="AA33" s="23" t="n">
        <v>0</v>
      </c>
      <c r="AB33" s="23" t="n">
        <v>0</v>
      </c>
      <c r="AC33" s="23" t="n">
        <v>0</v>
      </c>
      <c r="AD33" s="23" t="n">
        <v>0</v>
      </c>
      <c r="AE33" s="23" t="n">
        <v>0</v>
      </c>
      <c r="AF33" s="23" t="n">
        <v>0</v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</row>
    <row r="34">
      <c r="A34" s="6" t="inlineStr">
        <is>
          <t>Total operating expenses (R&amp;D + S&amp;M + G&amp;A + fines)</t>
        </is>
      </c>
      <c r="C34" s="31">
        <f>C30+C31+C32+C33</f>
        <v/>
      </c>
      <c r="D34" s="31">
        <f>D30+D31+D32+D33</f>
        <v/>
      </c>
      <c r="E34" s="31">
        <f>E30+E31+E32+E33</f>
        <v/>
      </c>
      <c r="F34" s="31">
        <f>F30+F31+F32+F33</f>
        <v/>
      </c>
      <c r="G34" s="31">
        <f>G30+G31+G32+G33</f>
        <v/>
      </c>
      <c r="H34" s="31">
        <f>H30+H31+H32+H33</f>
        <v/>
      </c>
      <c r="I34" s="31">
        <f>I30+I31+I32+I33</f>
        <v/>
      </c>
      <c r="J34" s="31">
        <f>J30+J31+J32+J33</f>
        <v/>
      </c>
      <c r="K34" s="31">
        <f>K30+K31+K32+K33</f>
        <v/>
      </c>
      <c r="L34" s="31">
        <f>L30+L31+L32+L33</f>
        <v/>
      </c>
      <c r="M34" s="31">
        <f>M30+M31+M32+M33</f>
        <v/>
      </c>
      <c r="N34" s="31">
        <f>N30+N31+N32+N33</f>
        <v/>
      </c>
      <c r="O34" s="31">
        <f>O30+O31+O32+O33</f>
        <v/>
      </c>
      <c r="P34" s="31">
        <f>P30+P31+P32+P33</f>
        <v/>
      </c>
      <c r="Q34" s="31">
        <f>Q30+Q31+Q32+Q33</f>
        <v/>
      </c>
      <c r="R34" s="31">
        <f>R30+R31+R32+R33</f>
        <v/>
      </c>
      <c r="S34" s="31">
        <f>S30+S31+S32+S33</f>
        <v/>
      </c>
      <c r="T34" s="31">
        <f>T30+T31+T32+T33</f>
        <v/>
      </c>
      <c r="U34" s="31">
        <f>U30+U31+U32+U33</f>
        <v/>
      </c>
      <c r="V34" s="31">
        <f>V30+V31+V32+V33</f>
        <v/>
      </c>
      <c r="W34" s="31">
        <f>W30+W31+W32+W33</f>
        <v/>
      </c>
      <c r="X34" s="31">
        <f>X30+X31+X32+X33</f>
        <v/>
      </c>
      <c r="Y34" s="31">
        <f>Y30+Y31+Y32+Y33</f>
        <v/>
      </c>
      <c r="Z34" s="31">
        <f>Z30+Z31+Z32+Z33</f>
        <v/>
      </c>
      <c r="AA34" s="31">
        <f>AA30+AA31+AA32+AA33</f>
        <v/>
      </c>
      <c r="AB34" s="31">
        <f>AB30+AB31+AB32+AB33</f>
        <v/>
      </c>
      <c r="AC34" s="31">
        <f>AC30+AC31+AC32+AC33</f>
        <v/>
      </c>
      <c r="AD34" s="31">
        <f>AD30+AD31+AD32+AD33</f>
        <v/>
      </c>
      <c r="AE34" s="31">
        <f>AE30+AE31+AE32+AE33</f>
        <v/>
      </c>
      <c r="AF34" s="31">
        <f>AF30+AF31+AF32+AF33</f>
        <v/>
      </c>
      <c r="AG34" s="32">
        <f>AG30+AG31+AG32+AG33</f>
        <v/>
      </c>
      <c r="AH34" s="32">
        <f>AH30+AH31+AH32+AH33</f>
        <v/>
      </c>
      <c r="AI34" s="32">
        <f>AI30+AI31+AI32+AI33</f>
        <v/>
      </c>
      <c r="AJ34" s="32">
        <f>AJ30+AJ31+AJ32+AJ33</f>
        <v/>
      </c>
      <c r="AK34" s="32">
        <f>AK30+AK31+AK32+AK33</f>
        <v/>
      </c>
      <c r="AL34" s="32">
        <f>AL30+AL31+AL32+AL33</f>
        <v/>
      </c>
    </row>
    <row r="35">
      <c r="A35" s="6" t="inlineStr">
        <is>
          <t>Operating income</t>
        </is>
      </c>
      <c r="C35" s="25">
        <f>C28-C34</f>
        <v/>
      </c>
      <c r="D35" s="25">
        <f>D28-D34</f>
        <v/>
      </c>
      <c r="E35" s="25">
        <f>E28-E34</f>
        <v/>
      </c>
      <c r="F35" s="25">
        <f>F28-F34</f>
        <v/>
      </c>
      <c r="G35" s="25">
        <f>G28-G34</f>
        <v/>
      </c>
      <c r="H35" s="25">
        <f>H28-H34</f>
        <v/>
      </c>
      <c r="I35" s="25">
        <f>I28-I34</f>
        <v/>
      </c>
      <c r="J35" s="25">
        <f>J28-J34</f>
        <v/>
      </c>
      <c r="K35" s="25">
        <f>K28-K34</f>
        <v/>
      </c>
      <c r="L35" s="25">
        <f>L28-L34</f>
        <v/>
      </c>
      <c r="M35" s="25">
        <f>M28-M34</f>
        <v/>
      </c>
      <c r="N35" s="25">
        <f>N28-N34</f>
        <v/>
      </c>
      <c r="O35" s="25">
        <f>O28-O34</f>
        <v/>
      </c>
      <c r="P35" s="25">
        <f>P28-P34</f>
        <v/>
      </c>
      <c r="Q35" s="25">
        <f>Q28-Q34</f>
        <v/>
      </c>
      <c r="R35" s="25">
        <f>R28-R34</f>
        <v/>
      </c>
      <c r="S35" s="25">
        <f>S28-S34</f>
        <v/>
      </c>
      <c r="T35" s="25">
        <f>T28-T34</f>
        <v/>
      </c>
      <c r="U35" s="25">
        <f>U28-U34</f>
        <v/>
      </c>
      <c r="V35" s="25">
        <f>V28-V34</f>
        <v/>
      </c>
      <c r="W35" s="25">
        <f>W28-W34</f>
        <v/>
      </c>
      <c r="X35" s="25">
        <f>X28-X34</f>
        <v/>
      </c>
      <c r="Y35" s="25">
        <f>Y28-Y34</f>
        <v/>
      </c>
      <c r="Z35" s="25">
        <f>Z28-Z34</f>
        <v/>
      </c>
      <c r="AA35" s="25">
        <f>AA28-AA34</f>
        <v/>
      </c>
      <c r="AB35" s="25">
        <f>AB28-AB34</f>
        <v/>
      </c>
      <c r="AC35" s="25">
        <f>AC28-AC34</f>
        <v/>
      </c>
      <c r="AD35" s="25">
        <f>AD28-AD34</f>
        <v/>
      </c>
      <c r="AE35" s="25">
        <f>AE28-AE34</f>
        <v/>
      </c>
      <c r="AF35" s="25">
        <f>AF28-AF34</f>
        <v/>
      </c>
      <c r="AG35" s="26">
        <f>AG28-AG34</f>
        <v/>
      </c>
      <c r="AH35" s="26">
        <f>AH28-AH34</f>
        <v/>
      </c>
      <c r="AI35" s="26">
        <f>AI28-AI34</f>
        <v/>
      </c>
      <c r="AJ35" s="26">
        <f>AJ28-AJ34</f>
        <v/>
      </c>
      <c r="AK35" s="26">
        <f>AK28-AK34</f>
        <v/>
      </c>
      <c r="AL35" s="26">
        <f>AL28-AL34</f>
        <v/>
      </c>
    </row>
    <row r="36">
      <c r="A36" s="4" t="inlineStr">
        <is>
          <t xml:space="preserve">  Operating margin</t>
        </is>
      </c>
      <c r="C36" s="27">
        <f>C35/C15</f>
        <v/>
      </c>
      <c r="D36" s="27">
        <f>D35/D15</f>
        <v/>
      </c>
      <c r="E36" s="27">
        <f>E35/E15</f>
        <v/>
      </c>
      <c r="F36" s="27">
        <f>F35/F15</f>
        <v/>
      </c>
      <c r="G36" s="27">
        <f>G35/G15</f>
        <v/>
      </c>
      <c r="H36" s="27">
        <f>H35/H15</f>
        <v/>
      </c>
      <c r="I36" s="27">
        <f>I35/I15</f>
        <v/>
      </c>
      <c r="J36" s="27">
        <f>J35/J15</f>
        <v/>
      </c>
      <c r="K36" s="27">
        <f>K35/K15</f>
        <v/>
      </c>
      <c r="L36" s="27">
        <f>L35/L15</f>
        <v/>
      </c>
      <c r="M36" s="27">
        <f>M35/M15</f>
        <v/>
      </c>
      <c r="N36" s="27">
        <f>N35/N15</f>
        <v/>
      </c>
      <c r="O36" s="27">
        <f>O35/O15</f>
        <v/>
      </c>
      <c r="P36" s="27">
        <f>P35/P15</f>
        <v/>
      </c>
      <c r="Q36" s="27">
        <f>Q35/Q15</f>
        <v/>
      </c>
      <c r="R36" s="27">
        <f>R35/R15</f>
        <v/>
      </c>
      <c r="S36" s="27">
        <f>S35/S15</f>
        <v/>
      </c>
      <c r="T36" s="27">
        <f>T35/T15</f>
        <v/>
      </c>
      <c r="U36" s="27">
        <f>U35/U15</f>
        <v/>
      </c>
      <c r="V36" s="27">
        <f>V35/V15</f>
        <v/>
      </c>
      <c r="W36" s="27">
        <f>W35/W15</f>
        <v/>
      </c>
      <c r="X36" s="27">
        <f>X35/X15</f>
        <v/>
      </c>
      <c r="Y36" s="27">
        <f>Y35/Y15</f>
        <v/>
      </c>
      <c r="Z36" s="27">
        <f>Z35/Z15</f>
        <v/>
      </c>
      <c r="AA36" s="27">
        <f>AA35/AA15</f>
        <v/>
      </c>
      <c r="AB36" s="27">
        <f>AB35/AB15</f>
        <v/>
      </c>
      <c r="AC36" s="27">
        <f>AC35/AC15</f>
        <v/>
      </c>
      <c r="AD36" s="27">
        <f>AD35/AD15</f>
        <v/>
      </c>
      <c r="AE36" s="27">
        <f>AE35/AE15</f>
        <v/>
      </c>
      <c r="AF36" s="27">
        <f>AF35/AF15</f>
        <v/>
      </c>
      <c r="AG36" s="28">
        <f>AG35/AG15</f>
        <v/>
      </c>
      <c r="AH36" s="28">
        <f>AH35/AH15</f>
        <v/>
      </c>
      <c r="AI36" s="28">
        <f>AI35/AI15</f>
        <v/>
      </c>
      <c r="AJ36" s="28">
        <f>AJ35/AJ15</f>
        <v/>
      </c>
      <c r="AK36" s="28">
        <f>AK35/AK15</f>
        <v/>
      </c>
      <c r="AL36" s="28">
        <f>AL35/AL15</f>
        <v/>
      </c>
    </row>
    <row r="38">
      <c r="A38" s="6" t="inlineStr">
        <is>
          <t>COST RATIOS (% of revenue; forecast = trailing 4-quarter average)</t>
        </is>
      </c>
    </row>
    <row r="39">
      <c r="A39" s="22" t="inlineStr">
        <is>
          <t>Cost of revenues</t>
        </is>
      </c>
      <c r="C39" s="27">
        <f>C27/C15</f>
        <v/>
      </c>
      <c r="D39" s="27">
        <f>D27/D15</f>
        <v/>
      </c>
      <c r="E39" s="27">
        <f>E27/E15</f>
        <v/>
      </c>
      <c r="F39" s="27">
        <f>F27/F15</f>
        <v/>
      </c>
      <c r="G39" s="27">
        <f>G27/G15</f>
        <v/>
      </c>
      <c r="H39" s="27">
        <f>H27/H15</f>
        <v/>
      </c>
      <c r="I39" s="27">
        <f>I27/I15</f>
        <v/>
      </c>
      <c r="J39" s="27">
        <f>J27/J15</f>
        <v/>
      </c>
      <c r="K39" s="27">
        <f>K27/K15</f>
        <v/>
      </c>
      <c r="L39" s="27">
        <f>L27/L15</f>
        <v/>
      </c>
      <c r="M39" s="27">
        <f>M27/M15</f>
        <v/>
      </c>
      <c r="N39" s="27">
        <f>N27/N15</f>
        <v/>
      </c>
      <c r="O39" s="27">
        <f>O27/O15</f>
        <v/>
      </c>
      <c r="P39" s="27">
        <f>P27/P15</f>
        <v/>
      </c>
      <c r="Q39" s="27">
        <f>Q27/Q15</f>
        <v/>
      </c>
      <c r="R39" s="27">
        <f>R27/R15</f>
        <v/>
      </c>
      <c r="S39" s="27">
        <f>S27/S15</f>
        <v/>
      </c>
      <c r="T39" s="27">
        <f>T27/T15</f>
        <v/>
      </c>
      <c r="U39" s="27">
        <f>U27/U15</f>
        <v/>
      </c>
      <c r="V39" s="27">
        <f>V27/V15</f>
        <v/>
      </c>
      <c r="W39" s="27">
        <f>W27/W15</f>
        <v/>
      </c>
      <c r="X39" s="27">
        <f>X27/X15</f>
        <v/>
      </c>
      <c r="Y39" s="27">
        <f>Y27/Y15</f>
        <v/>
      </c>
      <c r="Z39" s="27">
        <f>Z27/Z15</f>
        <v/>
      </c>
      <c r="AA39" s="27">
        <f>AA27/AA15</f>
        <v/>
      </c>
      <c r="AB39" s="27">
        <f>AB27/AB15</f>
        <v/>
      </c>
      <c r="AC39" s="27">
        <f>AC27/AC15</f>
        <v/>
      </c>
      <c r="AD39" s="27">
        <f>AD27/AD15</f>
        <v/>
      </c>
      <c r="AE39" s="27">
        <f>AE27/AE15</f>
        <v/>
      </c>
      <c r="AF39" s="27">
        <f>AF27/AF15</f>
        <v/>
      </c>
      <c r="AG39" s="28">
        <f>AVERAGE(AC39:AF39)</f>
        <v/>
      </c>
      <c r="AH39" s="28">
        <f>AVERAGE(AD39:AG39)</f>
        <v/>
      </c>
      <c r="AI39" s="28">
        <f>AVERAGE(AE39:AH39)</f>
        <v/>
      </c>
      <c r="AJ39" s="28">
        <f>AVERAGE(AF39:AI39)</f>
        <v/>
      </c>
      <c r="AK39" s="28">
        <f>AVERAGE(AG39:AJ39)</f>
        <v/>
      </c>
      <c r="AL39" s="28">
        <f>AVERAGE(AH39:AK39)</f>
        <v/>
      </c>
    </row>
    <row r="40">
      <c r="A40" s="22" t="inlineStr">
        <is>
          <t>R&amp;D</t>
        </is>
      </c>
      <c r="C40" s="27">
        <f>C30/C15</f>
        <v/>
      </c>
      <c r="D40" s="27">
        <f>D30/D15</f>
        <v/>
      </c>
      <c r="E40" s="27">
        <f>E30/E15</f>
        <v/>
      </c>
      <c r="F40" s="27">
        <f>F30/F15</f>
        <v/>
      </c>
      <c r="G40" s="27">
        <f>G30/G15</f>
        <v/>
      </c>
      <c r="H40" s="27">
        <f>H30/H15</f>
        <v/>
      </c>
      <c r="I40" s="27">
        <f>I30/I15</f>
        <v/>
      </c>
      <c r="J40" s="27">
        <f>J30/J15</f>
        <v/>
      </c>
      <c r="K40" s="27">
        <f>K30/K15</f>
        <v/>
      </c>
      <c r="L40" s="27">
        <f>L30/L15</f>
        <v/>
      </c>
      <c r="M40" s="27">
        <f>M30/M15</f>
        <v/>
      </c>
      <c r="N40" s="27">
        <f>N30/N15</f>
        <v/>
      </c>
      <c r="O40" s="27">
        <f>O30/O15</f>
        <v/>
      </c>
      <c r="P40" s="27">
        <f>P30/P15</f>
        <v/>
      </c>
      <c r="Q40" s="27">
        <f>Q30/Q15</f>
        <v/>
      </c>
      <c r="R40" s="27">
        <f>R30/R15</f>
        <v/>
      </c>
      <c r="S40" s="27">
        <f>S30/S15</f>
        <v/>
      </c>
      <c r="T40" s="27">
        <f>T30/T15</f>
        <v/>
      </c>
      <c r="U40" s="27">
        <f>U30/U15</f>
        <v/>
      </c>
      <c r="V40" s="27">
        <f>V30/V15</f>
        <v/>
      </c>
      <c r="W40" s="27">
        <f>W30/W15</f>
        <v/>
      </c>
      <c r="X40" s="27">
        <f>X30/X15</f>
        <v/>
      </c>
      <c r="Y40" s="27">
        <f>Y30/Y15</f>
        <v/>
      </c>
      <c r="Z40" s="27">
        <f>Z30/Z15</f>
        <v/>
      </c>
      <c r="AA40" s="27">
        <f>AA30/AA15</f>
        <v/>
      </c>
      <c r="AB40" s="27">
        <f>AB30/AB15</f>
        <v/>
      </c>
      <c r="AC40" s="27">
        <f>AC30/AC15</f>
        <v/>
      </c>
      <c r="AD40" s="27">
        <f>AD30/AD15</f>
        <v/>
      </c>
      <c r="AE40" s="27">
        <f>AE30/AE15</f>
        <v/>
      </c>
      <c r="AF40" s="27">
        <f>AF30/AF15</f>
        <v/>
      </c>
      <c r="AG40" s="28">
        <f>AVERAGE(AC40:AF40)</f>
        <v/>
      </c>
      <c r="AH40" s="28">
        <f>AVERAGE(AD40:AG40)</f>
        <v/>
      </c>
      <c r="AI40" s="28">
        <f>AVERAGE(AE40:AH40)</f>
        <v/>
      </c>
      <c r="AJ40" s="28">
        <f>AVERAGE(AF40:AI40)</f>
        <v/>
      </c>
      <c r="AK40" s="28">
        <f>AVERAGE(AG40:AJ40)</f>
        <v/>
      </c>
      <c r="AL40" s="28">
        <f>AVERAGE(AH40:AK40)</f>
        <v/>
      </c>
    </row>
    <row r="41">
      <c r="A41" s="22" t="inlineStr">
        <is>
          <t>Sales &amp; marketing</t>
        </is>
      </c>
      <c r="C41" s="27">
        <f>C31/C15</f>
        <v/>
      </c>
      <c r="D41" s="27">
        <f>D31/D15</f>
        <v/>
      </c>
      <c r="E41" s="27">
        <f>E31/E15</f>
        <v/>
      </c>
      <c r="F41" s="27">
        <f>F31/F15</f>
        <v/>
      </c>
      <c r="G41" s="27">
        <f>G31/G15</f>
        <v/>
      </c>
      <c r="H41" s="27">
        <f>H31/H15</f>
        <v/>
      </c>
      <c r="I41" s="27">
        <f>I31/I15</f>
        <v/>
      </c>
      <c r="J41" s="27">
        <f>J31/J15</f>
        <v/>
      </c>
      <c r="K41" s="27">
        <f>K31/K15</f>
        <v/>
      </c>
      <c r="L41" s="27">
        <f>L31/L15</f>
        <v/>
      </c>
      <c r="M41" s="27">
        <f>M31/M15</f>
        <v/>
      </c>
      <c r="N41" s="27">
        <f>N31/N15</f>
        <v/>
      </c>
      <c r="O41" s="27">
        <f>O31/O15</f>
        <v/>
      </c>
      <c r="P41" s="27">
        <f>P31/P15</f>
        <v/>
      </c>
      <c r="Q41" s="27">
        <f>Q31/Q15</f>
        <v/>
      </c>
      <c r="R41" s="27">
        <f>R31/R15</f>
        <v/>
      </c>
      <c r="S41" s="27">
        <f>S31/S15</f>
        <v/>
      </c>
      <c r="T41" s="27">
        <f>T31/T15</f>
        <v/>
      </c>
      <c r="U41" s="27">
        <f>U31/U15</f>
        <v/>
      </c>
      <c r="V41" s="27">
        <f>V31/V15</f>
        <v/>
      </c>
      <c r="W41" s="27">
        <f>W31/W15</f>
        <v/>
      </c>
      <c r="X41" s="27">
        <f>X31/X15</f>
        <v/>
      </c>
      <c r="Y41" s="27">
        <f>Y31/Y15</f>
        <v/>
      </c>
      <c r="Z41" s="27">
        <f>Z31/Z15</f>
        <v/>
      </c>
      <c r="AA41" s="27">
        <f>AA31/AA15</f>
        <v/>
      </c>
      <c r="AB41" s="27">
        <f>AB31/AB15</f>
        <v/>
      </c>
      <c r="AC41" s="27">
        <f>AC31/AC15</f>
        <v/>
      </c>
      <c r="AD41" s="27">
        <f>AD31/AD15</f>
        <v/>
      </c>
      <c r="AE41" s="27">
        <f>AE31/AE15</f>
        <v/>
      </c>
      <c r="AF41" s="27">
        <f>AF31/AF15</f>
        <v/>
      </c>
      <c r="AG41" s="28">
        <f>AVERAGE(AC41:AF41)</f>
        <v/>
      </c>
      <c r="AH41" s="28">
        <f>AVERAGE(AD41:AG41)</f>
        <v/>
      </c>
      <c r="AI41" s="28">
        <f>AVERAGE(AE41:AH41)</f>
        <v/>
      </c>
      <c r="AJ41" s="28">
        <f>AVERAGE(AF41:AI41)</f>
        <v/>
      </c>
      <c r="AK41" s="28">
        <f>AVERAGE(AG41:AJ41)</f>
        <v/>
      </c>
      <c r="AL41" s="28">
        <f>AVERAGE(AH41:AK41)</f>
        <v/>
      </c>
    </row>
    <row r="42">
      <c r="A42" s="22" t="inlineStr">
        <is>
          <t>G&amp;A</t>
        </is>
      </c>
      <c r="C42" s="27">
        <f>C32/C15</f>
        <v/>
      </c>
      <c r="D42" s="27">
        <f>D32/D15</f>
        <v/>
      </c>
      <c r="E42" s="27">
        <f>E32/E15</f>
        <v/>
      </c>
      <c r="F42" s="27">
        <f>F32/F15</f>
        <v/>
      </c>
      <c r="G42" s="27">
        <f>G32/G15</f>
        <v/>
      </c>
      <c r="H42" s="27">
        <f>H32/H15</f>
        <v/>
      </c>
      <c r="I42" s="27">
        <f>I32/I15</f>
        <v/>
      </c>
      <c r="J42" s="27">
        <f>J32/J15</f>
        <v/>
      </c>
      <c r="K42" s="27">
        <f>K32/K15</f>
        <v/>
      </c>
      <c r="L42" s="27">
        <f>L32/L15</f>
        <v/>
      </c>
      <c r="M42" s="27">
        <f>M32/M15</f>
        <v/>
      </c>
      <c r="N42" s="27">
        <f>N32/N15</f>
        <v/>
      </c>
      <c r="O42" s="27">
        <f>O32/O15</f>
        <v/>
      </c>
      <c r="P42" s="27">
        <f>P32/P15</f>
        <v/>
      </c>
      <c r="Q42" s="27">
        <f>Q32/Q15</f>
        <v/>
      </c>
      <c r="R42" s="27">
        <f>R32/R15</f>
        <v/>
      </c>
      <c r="S42" s="27">
        <f>S32/S15</f>
        <v/>
      </c>
      <c r="T42" s="27">
        <f>T32/T15</f>
        <v/>
      </c>
      <c r="U42" s="27">
        <f>U32/U15</f>
        <v/>
      </c>
      <c r="V42" s="27">
        <f>V32/V15</f>
        <v/>
      </c>
      <c r="W42" s="27">
        <f>W32/W15</f>
        <v/>
      </c>
      <c r="X42" s="27">
        <f>X32/X15</f>
        <v/>
      </c>
      <c r="Y42" s="27">
        <f>Y32/Y15</f>
        <v/>
      </c>
      <c r="Z42" s="27">
        <f>Z32/Z15</f>
        <v/>
      </c>
      <c r="AA42" s="27">
        <f>AA32/AA15</f>
        <v/>
      </c>
      <c r="AB42" s="27">
        <f>AB32/AB15</f>
        <v/>
      </c>
      <c r="AC42" s="27">
        <f>AC32/AC15</f>
        <v/>
      </c>
      <c r="AD42" s="27">
        <f>AD32/AD15</f>
        <v/>
      </c>
      <c r="AE42" s="27">
        <f>AE32/AE15</f>
        <v/>
      </c>
      <c r="AF42" s="27">
        <f>AF32/AF15</f>
        <v/>
      </c>
      <c r="AG42" s="28">
        <f>AVERAGE(AC42:AF42)</f>
        <v/>
      </c>
      <c r="AH42" s="28">
        <f>AVERAGE(AD42:AG42)</f>
        <v/>
      </c>
      <c r="AI42" s="28">
        <f>AVERAGE(AE42:AH42)</f>
        <v/>
      </c>
      <c r="AJ42" s="28">
        <f>AVERAGE(AF42:AI42)</f>
        <v/>
      </c>
      <c r="AK42" s="28">
        <f>AVERAGE(AG42:AJ42)</f>
        <v/>
      </c>
      <c r="AL42" s="28">
        <f>AVERAGE(AH42:AK42)</f>
        <v/>
      </c>
    </row>
    <row r="44">
      <c r="A44" s="6" t="inlineStr">
        <is>
          <t>GROWTH ASSUMPTIONS = latest actual YoY x fade^k + scenario delta</t>
        </is>
      </c>
    </row>
    <row r="45">
      <c r="A45" s="22" t="inlineStr">
        <is>
          <t>Search &amp; other</t>
        </is>
      </c>
      <c r="AG45" s="28">
        <f>$AF18*Assumptions!$C$4^AG$6+Assumptions!$D$9</f>
        <v/>
      </c>
      <c r="AH45" s="28">
        <f>$AF18*Assumptions!$C$4^AH$6+Assumptions!$D$9</f>
        <v/>
      </c>
      <c r="AI45" s="28">
        <f>$AF18*Assumptions!$C$4^AI$6+Assumptions!$D$9</f>
        <v/>
      </c>
      <c r="AJ45" s="28">
        <f>$AF18*Assumptions!$C$4^AJ$6+Assumptions!$D$9</f>
        <v/>
      </c>
      <c r="AK45" s="28">
        <f>$AF18*Assumptions!$C$4^AK$6+Assumptions!$D$9</f>
        <v/>
      </c>
      <c r="AL45" s="28">
        <f>$AF18*Assumptions!$C$4^AL$6+Assumptions!$D$9</f>
        <v/>
      </c>
    </row>
    <row r="46">
      <c r="A46" s="22" t="inlineStr">
        <is>
          <t>YouTube ads</t>
        </is>
      </c>
      <c r="AG46" s="28">
        <f>$AF19*Assumptions!$C$4^AG$6+Assumptions!$D$10</f>
        <v/>
      </c>
      <c r="AH46" s="28">
        <f>$AF19*Assumptions!$C$4^AH$6+Assumptions!$D$10</f>
        <v/>
      </c>
      <c r="AI46" s="28">
        <f>$AF19*Assumptions!$C$4^AI$6+Assumptions!$D$10</f>
        <v/>
      </c>
      <c r="AJ46" s="28">
        <f>$AF19*Assumptions!$C$4^AJ$6+Assumptions!$D$10</f>
        <v/>
      </c>
      <c r="AK46" s="28">
        <f>$AF19*Assumptions!$C$4^AK$6+Assumptions!$D$10</f>
        <v/>
      </c>
      <c r="AL46" s="28">
        <f>$AF19*Assumptions!$C$4^AL$6+Assumptions!$D$10</f>
        <v/>
      </c>
    </row>
    <row r="47">
      <c r="A47" s="22" t="inlineStr">
        <is>
          <t>Network</t>
        </is>
      </c>
      <c r="AG47" s="28">
        <f>$AF20*Assumptions!$C$4^AG$6+Assumptions!$D$11</f>
        <v/>
      </c>
      <c r="AH47" s="28">
        <f>$AF20*Assumptions!$C$4^AH$6+Assumptions!$D$11</f>
        <v/>
      </c>
      <c r="AI47" s="28">
        <f>$AF20*Assumptions!$C$4^AI$6+Assumptions!$D$11</f>
        <v/>
      </c>
      <c r="AJ47" s="28">
        <f>$AF20*Assumptions!$C$4^AJ$6+Assumptions!$D$11</f>
        <v/>
      </c>
      <c r="AK47" s="28">
        <f>$AF20*Assumptions!$C$4^AK$6+Assumptions!$D$11</f>
        <v/>
      </c>
      <c r="AL47" s="28">
        <f>$AF20*Assumptions!$C$4^AL$6+Assumptions!$D$11</f>
        <v/>
      </c>
    </row>
    <row r="48">
      <c r="A48" s="22" t="inlineStr">
        <is>
          <t>Subscriptions, platforms &amp; devices</t>
        </is>
      </c>
      <c r="AG48" s="28">
        <f>$AF21*Assumptions!$C$4^AG$6+Assumptions!$D$12</f>
        <v/>
      </c>
      <c r="AH48" s="28">
        <f>$AF21*Assumptions!$C$4^AH$6+Assumptions!$D$12</f>
        <v/>
      </c>
      <c r="AI48" s="28">
        <f>$AF21*Assumptions!$C$4^AI$6+Assumptions!$D$12</f>
        <v/>
      </c>
      <c r="AJ48" s="28">
        <f>$AF21*Assumptions!$C$4^AJ$6+Assumptions!$D$12</f>
        <v/>
      </c>
      <c r="AK48" s="28">
        <f>$AF21*Assumptions!$C$4^AK$6+Assumptions!$D$12</f>
        <v/>
      </c>
      <c r="AL48" s="28">
        <f>$AF21*Assumptions!$C$4^AL$6+Assumptions!$D$12</f>
        <v/>
      </c>
    </row>
    <row r="49">
      <c r="A49" s="22" t="inlineStr">
        <is>
          <t>Google Cloud</t>
        </is>
      </c>
      <c r="AG49" s="28">
        <f>$AF22*Assumptions!$C$4^AG$6+Assumptions!$D$13</f>
        <v/>
      </c>
      <c r="AH49" s="28">
        <f>$AF22*Assumptions!$C$4^AH$6+Assumptions!$D$13</f>
        <v/>
      </c>
      <c r="AI49" s="28">
        <f>$AF22*Assumptions!$C$4^AI$6+Assumptions!$D$13</f>
        <v/>
      </c>
      <c r="AJ49" s="28">
        <f>$AF22*Assumptions!$C$4^AJ$6+Assumptions!$D$13</f>
        <v/>
      </c>
      <c r="AK49" s="28">
        <f>$AF22*Assumptions!$C$4^AK$6+Assumptions!$D$13</f>
        <v/>
      </c>
      <c r="AL49" s="28">
        <f>$AF22*Assumptions!$C$4^AL$6+Assumptions!$D$13</f>
        <v/>
      </c>
    </row>
    <row r="50">
      <c r="A50" s="22" t="inlineStr">
        <is>
          <t>Other Bets</t>
        </is>
      </c>
      <c r="AG50" s="28">
        <f>$AF23*Assumptions!$C$4^AG$6+Assumptions!$D$14</f>
        <v/>
      </c>
      <c r="AH50" s="28">
        <f>$AF23*Assumptions!$C$4^AH$6+Assumptions!$D$14</f>
        <v/>
      </c>
      <c r="AI50" s="28">
        <f>$AF23*Assumptions!$C$4^AI$6+Assumptions!$D$14</f>
        <v/>
      </c>
      <c r="AJ50" s="28">
        <f>$AF23*Assumptions!$C$4^AJ$6+Assumptions!$D$14</f>
        <v/>
      </c>
      <c r="AK50" s="28">
        <f>$AF23*Assumptions!$C$4^AK$6+Assumptions!$D$14</f>
        <v/>
      </c>
      <c r="AL50" s="28">
        <f>$AF23*Assumptions!$C$4^AL$6+Assumptions!$D$14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>
      <c r="A1" s="1" t="inlineStr">
        <is>
          <t>Alphabet Inc. - quarterly P&amp;L model (Bull case)  |  $ millions</t>
        </is>
      </c>
    </row>
    <row r="2">
      <c r="A2" s="2" t="inlineStr">
        <is>
          <t>Blue = hard-coded SEC history. Black = formula. Yellow-shaded columns = forecast. Source: SEC EDGAR XBRL (companyfacts + 10-Q/10-K instance documents).</t>
        </is>
      </c>
    </row>
    <row r="3">
      <c r="A3" s="12" t="inlineStr">
        <is>
          <t>Quarter</t>
        </is>
      </c>
      <c r="B3" s="13" t="n"/>
      <c r="C3" s="16" t="inlineStr">
        <is>
          <t>Q1'19</t>
        </is>
      </c>
      <c r="D3" s="16" t="inlineStr">
        <is>
          <t>Q2'19</t>
        </is>
      </c>
      <c r="E3" s="16" t="inlineStr">
        <is>
          <t>Q3'19</t>
        </is>
      </c>
      <c r="F3" s="16" t="inlineStr">
        <is>
          <t>Q4'19</t>
        </is>
      </c>
      <c r="G3" s="16" t="inlineStr">
        <is>
          <t>Q1'20</t>
        </is>
      </c>
      <c r="H3" s="16" t="inlineStr">
        <is>
          <t>Q2'20</t>
        </is>
      </c>
      <c r="I3" s="16" t="inlineStr">
        <is>
          <t>Q3'20</t>
        </is>
      </c>
      <c r="J3" s="16" t="inlineStr">
        <is>
          <t>Q4'20</t>
        </is>
      </c>
      <c r="K3" s="16" t="inlineStr">
        <is>
          <t>Q1'21</t>
        </is>
      </c>
      <c r="L3" s="16" t="inlineStr">
        <is>
          <t>Q2'21</t>
        </is>
      </c>
      <c r="M3" s="16" t="inlineStr">
        <is>
          <t>Q3'21</t>
        </is>
      </c>
      <c r="N3" s="16" t="inlineStr">
        <is>
          <t>Q4'21</t>
        </is>
      </c>
      <c r="O3" s="16" t="inlineStr">
        <is>
          <t>Q1'22</t>
        </is>
      </c>
      <c r="P3" s="16" t="inlineStr">
        <is>
          <t>Q2'22</t>
        </is>
      </c>
      <c r="Q3" s="16" t="inlineStr">
        <is>
          <t>Q3'22</t>
        </is>
      </c>
      <c r="R3" s="16" t="inlineStr">
        <is>
          <t>Q4'22</t>
        </is>
      </c>
      <c r="S3" s="16" t="inlineStr">
        <is>
          <t>Q1'23</t>
        </is>
      </c>
      <c r="T3" s="16" t="inlineStr">
        <is>
          <t>Q2'23</t>
        </is>
      </c>
      <c r="U3" s="16" t="inlineStr">
        <is>
          <t>Q3'23</t>
        </is>
      </c>
      <c r="V3" s="16" t="inlineStr">
        <is>
          <t>Q4'23</t>
        </is>
      </c>
      <c r="W3" s="16" t="inlineStr">
        <is>
          <t>Q1'24</t>
        </is>
      </c>
      <c r="X3" s="16" t="inlineStr">
        <is>
          <t>Q2'24</t>
        </is>
      </c>
      <c r="Y3" s="16" t="inlineStr">
        <is>
          <t>Q3'24</t>
        </is>
      </c>
      <c r="Z3" s="16" t="inlineStr">
        <is>
          <t>Q4'24</t>
        </is>
      </c>
      <c r="AA3" s="16" t="inlineStr">
        <is>
          <t>Q1'25</t>
        </is>
      </c>
      <c r="AB3" s="16" t="inlineStr">
        <is>
          <t>Q2'25</t>
        </is>
      </c>
      <c r="AC3" s="16" t="inlineStr">
        <is>
          <t>Q3'25</t>
        </is>
      </c>
      <c r="AD3" s="16" t="inlineStr">
        <is>
          <t>Q4'25</t>
        </is>
      </c>
      <c r="AE3" s="16" t="inlineStr">
        <is>
          <t>Q1'26</t>
        </is>
      </c>
      <c r="AF3" s="16" t="inlineStr">
        <is>
          <t>Q2'26</t>
        </is>
      </c>
      <c r="AG3" s="16" t="inlineStr">
        <is>
          <t>Q3'26</t>
        </is>
      </c>
      <c r="AH3" s="16" t="inlineStr">
        <is>
          <t>Q4'26</t>
        </is>
      </c>
      <c r="AI3" s="16" t="inlineStr">
        <is>
          <t>Q1'27</t>
        </is>
      </c>
      <c r="AJ3" s="16" t="inlineStr">
        <is>
          <t>Q2'27</t>
        </is>
      </c>
      <c r="AK3" s="16" t="inlineStr">
        <is>
          <t>Q3'27</t>
        </is>
      </c>
      <c r="AL3" s="16" t="inlineStr">
        <is>
          <t>Q4'27</t>
        </is>
      </c>
    </row>
    <row r="4">
      <c r="C4" s="17" t="n">
        <v>43555</v>
      </c>
      <c r="D4" s="17" t="n">
        <v>43646</v>
      </c>
      <c r="E4" s="17" t="n">
        <v>43738</v>
      </c>
      <c r="F4" s="17" t="n">
        <v>43830</v>
      </c>
      <c r="G4" s="17" t="n">
        <v>43921</v>
      </c>
      <c r="H4" s="17" t="n">
        <v>44012</v>
      </c>
      <c r="I4" s="17" t="n">
        <v>44104</v>
      </c>
      <c r="J4" s="17" t="n">
        <v>44196</v>
      </c>
      <c r="K4" s="17" t="n">
        <v>44286</v>
      </c>
      <c r="L4" s="17" t="n">
        <v>44377</v>
      </c>
      <c r="M4" s="17" t="n">
        <v>44469</v>
      </c>
      <c r="N4" s="17" t="n">
        <v>44561</v>
      </c>
      <c r="O4" s="17" t="n">
        <v>44651</v>
      </c>
      <c r="P4" s="17" t="n">
        <v>44742</v>
      </c>
      <c r="Q4" s="17" t="n">
        <v>44834</v>
      </c>
      <c r="R4" s="17" t="n">
        <v>44926</v>
      </c>
      <c r="S4" s="17" t="n">
        <v>45016</v>
      </c>
      <c r="T4" s="17" t="n">
        <v>45107</v>
      </c>
      <c r="U4" s="17" t="n">
        <v>45199</v>
      </c>
      <c r="V4" s="17" t="n">
        <v>45291</v>
      </c>
      <c r="W4" s="17" t="n">
        <v>45382</v>
      </c>
      <c r="X4" s="17" t="n">
        <v>45473</v>
      </c>
      <c r="Y4" s="17" t="n">
        <v>45565</v>
      </c>
      <c r="Z4" s="17" t="n">
        <v>45657</v>
      </c>
      <c r="AA4" s="17" t="n">
        <v>45747</v>
      </c>
      <c r="AB4" s="17" t="n">
        <v>45838</v>
      </c>
      <c r="AC4" s="17" t="n">
        <v>45930</v>
      </c>
      <c r="AD4" s="17" t="n">
        <v>46022</v>
      </c>
      <c r="AE4" s="17" t="n">
        <v>46112</v>
      </c>
      <c r="AF4" s="17" t="n">
        <v>46203</v>
      </c>
      <c r="AG4" s="18" t="n">
        <v>46295</v>
      </c>
      <c r="AH4" s="18" t="n">
        <v>46387</v>
      </c>
      <c r="AI4" s="18" t="n">
        <v>46477</v>
      </c>
      <c r="AJ4" s="18" t="n">
        <v>46568</v>
      </c>
      <c r="AK4" s="18" t="n">
        <v>46660</v>
      </c>
      <c r="AL4" s="18" t="n">
        <v>46752</v>
      </c>
    </row>
    <row r="5">
      <c r="C5" s="19" t="inlineStr">
        <is>
          <t>Actual</t>
        </is>
      </c>
      <c r="D5" s="19" t="inlineStr">
        <is>
          <t>Actual</t>
        </is>
      </c>
      <c r="E5" s="19" t="inlineStr">
        <is>
          <t>Actual</t>
        </is>
      </c>
      <c r="F5" s="19" t="inlineStr">
        <is>
          <t>Actual</t>
        </is>
      </c>
      <c r="G5" s="19" t="inlineStr">
        <is>
          <t>Actual</t>
        </is>
      </c>
      <c r="H5" s="19" t="inlineStr">
        <is>
          <t>Actual</t>
        </is>
      </c>
      <c r="I5" s="19" t="inlineStr">
        <is>
          <t>Actual</t>
        </is>
      </c>
      <c r="J5" s="19" t="inlineStr">
        <is>
          <t>Actual</t>
        </is>
      </c>
      <c r="K5" s="19" t="inlineStr">
        <is>
          <t>Actual</t>
        </is>
      </c>
      <c r="L5" s="19" t="inlineStr">
        <is>
          <t>Actual</t>
        </is>
      </c>
      <c r="M5" s="19" t="inlineStr">
        <is>
          <t>Actual</t>
        </is>
      </c>
      <c r="N5" s="19" t="inlineStr">
        <is>
          <t>Actual</t>
        </is>
      </c>
      <c r="O5" s="19" t="inlineStr">
        <is>
          <t>Actual</t>
        </is>
      </c>
      <c r="P5" s="19" t="inlineStr">
        <is>
          <t>Actual</t>
        </is>
      </c>
      <c r="Q5" s="19" t="inlineStr">
        <is>
          <t>Actual</t>
        </is>
      </c>
      <c r="R5" s="19" t="inlineStr">
        <is>
          <t>Actual</t>
        </is>
      </c>
      <c r="S5" s="19" t="inlineStr">
        <is>
          <t>Actual</t>
        </is>
      </c>
      <c r="T5" s="19" t="inlineStr">
        <is>
          <t>Actual</t>
        </is>
      </c>
      <c r="U5" s="19" t="inlineStr">
        <is>
          <t>Actual</t>
        </is>
      </c>
      <c r="V5" s="19" t="inlineStr">
        <is>
          <t>Actual</t>
        </is>
      </c>
      <c r="W5" s="19" t="inlineStr">
        <is>
          <t>Actual</t>
        </is>
      </c>
      <c r="X5" s="19" t="inlineStr">
        <is>
          <t>Actual</t>
        </is>
      </c>
      <c r="Y5" s="19" t="inlineStr">
        <is>
          <t>Actual</t>
        </is>
      </c>
      <c r="Z5" s="19" t="inlineStr">
        <is>
          <t>Actual</t>
        </is>
      </c>
      <c r="AA5" s="19" t="inlineStr">
        <is>
          <t>Actual</t>
        </is>
      </c>
      <c r="AB5" s="19" t="inlineStr">
        <is>
          <t>Actual</t>
        </is>
      </c>
      <c r="AC5" s="19" t="inlineStr">
        <is>
          <t>Actual</t>
        </is>
      </c>
      <c r="AD5" s="19" t="inlineStr">
        <is>
          <t>Actual</t>
        </is>
      </c>
      <c r="AE5" s="19" t="inlineStr">
        <is>
          <t>Actual</t>
        </is>
      </c>
      <c r="AF5" s="19" t="inlineStr">
        <is>
          <t>Actual</t>
        </is>
      </c>
      <c r="AG5" s="20" t="inlineStr">
        <is>
          <t>Forecast</t>
        </is>
      </c>
      <c r="AH5" s="20" t="inlineStr">
        <is>
          <t>Forecast</t>
        </is>
      </c>
      <c r="AI5" s="20" t="inlineStr">
        <is>
          <t>Forecast</t>
        </is>
      </c>
      <c r="AJ5" s="20" t="inlineStr">
        <is>
          <t>Forecast</t>
        </is>
      </c>
      <c r="AK5" s="20" t="inlineStr">
        <is>
          <t>Forecast</t>
        </is>
      </c>
      <c r="AL5" s="20" t="inlineStr">
        <is>
          <t>Forecast</t>
        </is>
      </c>
    </row>
    <row r="6">
      <c r="A6" s="21" t="inlineStr">
        <is>
          <t>Quarters ahead (k)</t>
        </is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20" t="n">
        <v>1</v>
      </c>
      <c r="AH6" s="20" t="n">
        <v>2</v>
      </c>
      <c r="AI6" s="20" t="n">
        <v>3</v>
      </c>
      <c r="AJ6" s="20" t="n">
        <v>4</v>
      </c>
      <c r="AK6" s="20" t="n">
        <v>5</v>
      </c>
      <c r="AL6" s="20" t="n">
        <v>6</v>
      </c>
    </row>
    <row r="7">
      <c r="A7" s="6" t="inlineStr">
        <is>
          <t>REVENUE</t>
        </is>
      </c>
    </row>
    <row r="8">
      <c r="A8" s="22" t="inlineStr">
        <is>
          <t>Search &amp; other</t>
        </is>
      </c>
      <c r="C8" s="33">
        <f>Model_Base!C8</f>
        <v/>
      </c>
      <c r="D8" s="33">
        <f>Model_Base!D8</f>
        <v/>
      </c>
      <c r="E8" s="33">
        <f>Model_Base!E8</f>
        <v/>
      </c>
      <c r="F8" s="33">
        <f>Model_Base!F8</f>
        <v/>
      </c>
      <c r="G8" s="33">
        <f>Model_Base!G8</f>
        <v/>
      </c>
      <c r="H8" s="33">
        <f>Model_Base!H8</f>
        <v/>
      </c>
      <c r="I8" s="33">
        <f>Model_Base!I8</f>
        <v/>
      </c>
      <c r="J8" s="33">
        <f>Model_Base!J8</f>
        <v/>
      </c>
      <c r="K8" s="33">
        <f>Model_Base!K8</f>
        <v/>
      </c>
      <c r="L8" s="33">
        <f>Model_Base!L8</f>
        <v/>
      </c>
      <c r="M8" s="33">
        <f>Model_Base!M8</f>
        <v/>
      </c>
      <c r="N8" s="33">
        <f>Model_Base!N8</f>
        <v/>
      </c>
      <c r="O8" s="33">
        <f>Model_Base!O8</f>
        <v/>
      </c>
      <c r="P8" s="33">
        <f>Model_Base!P8</f>
        <v/>
      </c>
      <c r="Q8" s="33">
        <f>Model_Base!Q8</f>
        <v/>
      </c>
      <c r="R8" s="33">
        <f>Model_Base!R8</f>
        <v/>
      </c>
      <c r="S8" s="33">
        <f>Model_Base!S8</f>
        <v/>
      </c>
      <c r="T8" s="33">
        <f>Model_Base!T8</f>
        <v/>
      </c>
      <c r="U8" s="33">
        <f>Model_Base!U8</f>
        <v/>
      </c>
      <c r="V8" s="33">
        <f>Model_Base!V8</f>
        <v/>
      </c>
      <c r="W8" s="33">
        <f>Model_Base!W8</f>
        <v/>
      </c>
      <c r="X8" s="33">
        <f>Model_Base!X8</f>
        <v/>
      </c>
      <c r="Y8" s="33">
        <f>Model_Base!Y8</f>
        <v/>
      </c>
      <c r="Z8" s="33">
        <f>Model_Base!Z8</f>
        <v/>
      </c>
      <c r="AA8" s="33">
        <f>Model_Base!AA8</f>
        <v/>
      </c>
      <c r="AB8" s="33">
        <f>Model_Base!AB8</f>
        <v/>
      </c>
      <c r="AC8" s="33">
        <f>Model_Base!AC8</f>
        <v/>
      </c>
      <c r="AD8" s="33">
        <f>Model_Base!AD8</f>
        <v/>
      </c>
      <c r="AE8" s="33">
        <f>Model_Base!AE8</f>
        <v/>
      </c>
      <c r="AF8" s="33">
        <f>Model_Base!AF8</f>
        <v/>
      </c>
      <c r="AG8" s="24">
        <f>AC8*(1+AG45)</f>
        <v/>
      </c>
      <c r="AH8" s="24">
        <f>AD8*(1+AH45)</f>
        <v/>
      </c>
      <c r="AI8" s="24">
        <f>AE8*(1+AI45)</f>
        <v/>
      </c>
      <c r="AJ8" s="24">
        <f>AF8*(1+AJ45)</f>
        <v/>
      </c>
      <c r="AK8" s="24">
        <f>AG8*(1+AK45)</f>
        <v/>
      </c>
      <c r="AL8" s="24">
        <f>AH8*(1+AL45)</f>
        <v/>
      </c>
    </row>
    <row r="9">
      <c r="A9" s="22" t="inlineStr">
        <is>
          <t>YouTube ads</t>
        </is>
      </c>
      <c r="C9" s="33">
        <f>Model_Base!C9</f>
        <v/>
      </c>
      <c r="D9" s="33">
        <f>Model_Base!D9</f>
        <v/>
      </c>
      <c r="E9" s="33">
        <f>Model_Base!E9</f>
        <v/>
      </c>
      <c r="F9" s="33">
        <f>Model_Base!F9</f>
        <v/>
      </c>
      <c r="G9" s="33">
        <f>Model_Base!G9</f>
        <v/>
      </c>
      <c r="H9" s="33">
        <f>Model_Base!H9</f>
        <v/>
      </c>
      <c r="I9" s="33">
        <f>Model_Base!I9</f>
        <v/>
      </c>
      <c r="J9" s="33">
        <f>Model_Base!J9</f>
        <v/>
      </c>
      <c r="K9" s="33">
        <f>Model_Base!K9</f>
        <v/>
      </c>
      <c r="L9" s="33">
        <f>Model_Base!L9</f>
        <v/>
      </c>
      <c r="M9" s="33">
        <f>Model_Base!M9</f>
        <v/>
      </c>
      <c r="N9" s="33">
        <f>Model_Base!N9</f>
        <v/>
      </c>
      <c r="O9" s="33">
        <f>Model_Base!O9</f>
        <v/>
      </c>
      <c r="P9" s="33">
        <f>Model_Base!P9</f>
        <v/>
      </c>
      <c r="Q9" s="33">
        <f>Model_Base!Q9</f>
        <v/>
      </c>
      <c r="R9" s="33">
        <f>Model_Base!R9</f>
        <v/>
      </c>
      <c r="S9" s="33">
        <f>Model_Base!S9</f>
        <v/>
      </c>
      <c r="T9" s="33">
        <f>Model_Base!T9</f>
        <v/>
      </c>
      <c r="U9" s="33">
        <f>Model_Base!U9</f>
        <v/>
      </c>
      <c r="V9" s="33">
        <f>Model_Base!V9</f>
        <v/>
      </c>
      <c r="W9" s="33">
        <f>Model_Base!W9</f>
        <v/>
      </c>
      <c r="X9" s="33">
        <f>Model_Base!X9</f>
        <v/>
      </c>
      <c r="Y9" s="33">
        <f>Model_Base!Y9</f>
        <v/>
      </c>
      <c r="Z9" s="33">
        <f>Model_Base!Z9</f>
        <v/>
      </c>
      <c r="AA9" s="33">
        <f>Model_Base!AA9</f>
        <v/>
      </c>
      <c r="AB9" s="33">
        <f>Model_Base!AB9</f>
        <v/>
      </c>
      <c r="AC9" s="33">
        <f>Model_Base!AC9</f>
        <v/>
      </c>
      <c r="AD9" s="33">
        <f>Model_Base!AD9</f>
        <v/>
      </c>
      <c r="AE9" s="33">
        <f>Model_Base!AE9</f>
        <v/>
      </c>
      <c r="AF9" s="33">
        <f>Model_Base!AF9</f>
        <v/>
      </c>
      <c r="AG9" s="24">
        <f>AC9*(1+AG46)</f>
        <v/>
      </c>
      <c r="AH9" s="24">
        <f>AD9*(1+AH46)</f>
        <v/>
      </c>
      <c r="AI9" s="24">
        <f>AE9*(1+AI46)</f>
        <v/>
      </c>
      <c r="AJ9" s="24">
        <f>AF9*(1+AJ46)</f>
        <v/>
      </c>
      <c r="AK9" s="24">
        <f>AG9*(1+AK46)</f>
        <v/>
      </c>
      <c r="AL9" s="24">
        <f>AH9*(1+AL46)</f>
        <v/>
      </c>
    </row>
    <row r="10">
      <c r="A10" s="22" t="inlineStr">
        <is>
          <t>Network</t>
        </is>
      </c>
      <c r="C10" s="33">
        <f>Model_Base!C10</f>
        <v/>
      </c>
      <c r="D10" s="33">
        <f>Model_Base!D10</f>
        <v/>
      </c>
      <c r="E10" s="33">
        <f>Model_Base!E10</f>
        <v/>
      </c>
      <c r="F10" s="33">
        <f>Model_Base!F10</f>
        <v/>
      </c>
      <c r="G10" s="33">
        <f>Model_Base!G10</f>
        <v/>
      </c>
      <c r="H10" s="33">
        <f>Model_Base!H10</f>
        <v/>
      </c>
      <c r="I10" s="33">
        <f>Model_Base!I10</f>
        <v/>
      </c>
      <c r="J10" s="33">
        <f>Model_Base!J10</f>
        <v/>
      </c>
      <c r="K10" s="33">
        <f>Model_Base!K10</f>
        <v/>
      </c>
      <c r="L10" s="33">
        <f>Model_Base!L10</f>
        <v/>
      </c>
      <c r="M10" s="33">
        <f>Model_Base!M10</f>
        <v/>
      </c>
      <c r="N10" s="33">
        <f>Model_Base!N10</f>
        <v/>
      </c>
      <c r="O10" s="33">
        <f>Model_Base!O10</f>
        <v/>
      </c>
      <c r="P10" s="33">
        <f>Model_Base!P10</f>
        <v/>
      </c>
      <c r="Q10" s="33">
        <f>Model_Base!Q10</f>
        <v/>
      </c>
      <c r="R10" s="33">
        <f>Model_Base!R10</f>
        <v/>
      </c>
      <c r="S10" s="33">
        <f>Model_Base!S10</f>
        <v/>
      </c>
      <c r="T10" s="33">
        <f>Model_Base!T10</f>
        <v/>
      </c>
      <c r="U10" s="33">
        <f>Model_Base!U10</f>
        <v/>
      </c>
      <c r="V10" s="33">
        <f>Model_Base!V10</f>
        <v/>
      </c>
      <c r="W10" s="33">
        <f>Model_Base!W10</f>
        <v/>
      </c>
      <c r="X10" s="33">
        <f>Model_Base!X10</f>
        <v/>
      </c>
      <c r="Y10" s="33">
        <f>Model_Base!Y10</f>
        <v/>
      </c>
      <c r="Z10" s="33">
        <f>Model_Base!Z10</f>
        <v/>
      </c>
      <c r="AA10" s="33">
        <f>Model_Base!AA10</f>
        <v/>
      </c>
      <c r="AB10" s="33">
        <f>Model_Base!AB10</f>
        <v/>
      </c>
      <c r="AC10" s="33">
        <f>Model_Base!AC10</f>
        <v/>
      </c>
      <c r="AD10" s="33">
        <f>Model_Base!AD10</f>
        <v/>
      </c>
      <c r="AE10" s="33">
        <f>Model_Base!AE10</f>
        <v/>
      </c>
      <c r="AF10" s="33">
        <f>Model_Base!AF10</f>
        <v/>
      </c>
      <c r="AG10" s="24">
        <f>AC10*(1+AG47)</f>
        <v/>
      </c>
      <c r="AH10" s="24">
        <f>AD10*(1+AH47)</f>
        <v/>
      </c>
      <c r="AI10" s="24">
        <f>AE10*(1+AI47)</f>
        <v/>
      </c>
      <c r="AJ10" s="24">
        <f>AF10*(1+AJ47)</f>
        <v/>
      </c>
      <c r="AK10" s="24">
        <f>AG10*(1+AK47)</f>
        <v/>
      </c>
      <c r="AL10" s="24">
        <f>AH10*(1+AL47)</f>
        <v/>
      </c>
    </row>
    <row r="11">
      <c r="A11" s="22" t="inlineStr">
        <is>
          <t>Subscriptions, platforms &amp; devices</t>
        </is>
      </c>
      <c r="C11" s="33">
        <f>Model_Base!C11</f>
        <v/>
      </c>
      <c r="D11" s="33">
        <f>Model_Base!D11</f>
        <v/>
      </c>
      <c r="E11" s="33">
        <f>Model_Base!E11</f>
        <v/>
      </c>
      <c r="F11" s="33">
        <f>Model_Base!F11</f>
        <v/>
      </c>
      <c r="G11" s="33">
        <f>Model_Base!G11</f>
        <v/>
      </c>
      <c r="H11" s="33">
        <f>Model_Base!H11</f>
        <v/>
      </c>
      <c r="I11" s="33">
        <f>Model_Base!I11</f>
        <v/>
      </c>
      <c r="J11" s="33">
        <f>Model_Base!J11</f>
        <v/>
      </c>
      <c r="K11" s="33">
        <f>Model_Base!K11</f>
        <v/>
      </c>
      <c r="L11" s="33">
        <f>Model_Base!L11</f>
        <v/>
      </c>
      <c r="M11" s="33">
        <f>Model_Base!M11</f>
        <v/>
      </c>
      <c r="N11" s="33">
        <f>Model_Base!N11</f>
        <v/>
      </c>
      <c r="O11" s="33">
        <f>Model_Base!O11</f>
        <v/>
      </c>
      <c r="P11" s="33">
        <f>Model_Base!P11</f>
        <v/>
      </c>
      <c r="Q11" s="33">
        <f>Model_Base!Q11</f>
        <v/>
      </c>
      <c r="R11" s="33">
        <f>Model_Base!R11</f>
        <v/>
      </c>
      <c r="S11" s="33">
        <f>Model_Base!S11</f>
        <v/>
      </c>
      <c r="T11" s="33">
        <f>Model_Base!T11</f>
        <v/>
      </c>
      <c r="U11" s="33">
        <f>Model_Base!U11</f>
        <v/>
      </c>
      <c r="V11" s="33">
        <f>Model_Base!V11</f>
        <v/>
      </c>
      <c r="W11" s="33">
        <f>Model_Base!W11</f>
        <v/>
      </c>
      <c r="X11" s="33">
        <f>Model_Base!X11</f>
        <v/>
      </c>
      <c r="Y11" s="33">
        <f>Model_Base!Y11</f>
        <v/>
      </c>
      <c r="Z11" s="33">
        <f>Model_Base!Z11</f>
        <v/>
      </c>
      <c r="AA11" s="33">
        <f>Model_Base!AA11</f>
        <v/>
      </c>
      <c r="AB11" s="33">
        <f>Model_Base!AB11</f>
        <v/>
      </c>
      <c r="AC11" s="33">
        <f>Model_Base!AC11</f>
        <v/>
      </c>
      <c r="AD11" s="33">
        <f>Model_Base!AD11</f>
        <v/>
      </c>
      <c r="AE11" s="33">
        <f>Model_Base!AE11</f>
        <v/>
      </c>
      <c r="AF11" s="33">
        <f>Model_Base!AF11</f>
        <v/>
      </c>
      <c r="AG11" s="24">
        <f>AC11*(1+AG48)</f>
        <v/>
      </c>
      <c r="AH11" s="24">
        <f>AD11*(1+AH48)</f>
        <v/>
      </c>
      <c r="AI11" s="24">
        <f>AE11*(1+AI48)</f>
        <v/>
      </c>
      <c r="AJ11" s="24">
        <f>AF11*(1+AJ48)</f>
        <v/>
      </c>
      <c r="AK11" s="24">
        <f>AG11*(1+AK48)</f>
        <v/>
      </c>
      <c r="AL11" s="24">
        <f>AH11*(1+AL48)</f>
        <v/>
      </c>
    </row>
    <row r="12">
      <c r="A12" s="22" t="inlineStr">
        <is>
          <t>Google Cloud</t>
        </is>
      </c>
      <c r="C12" s="33">
        <f>Model_Base!C12</f>
        <v/>
      </c>
      <c r="D12" s="33">
        <f>Model_Base!D12</f>
        <v/>
      </c>
      <c r="E12" s="33">
        <f>Model_Base!E12</f>
        <v/>
      </c>
      <c r="F12" s="33">
        <f>Model_Base!F12</f>
        <v/>
      </c>
      <c r="G12" s="33">
        <f>Model_Base!G12</f>
        <v/>
      </c>
      <c r="H12" s="33">
        <f>Model_Base!H12</f>
        <v/>
      </c>
      <c r="I12" s="33">
        <f>Model_Base!I12</f>
        <v/>
      </c>
      <c r="J12" s="33">
        <f>Model_Base!J12</f>
        <v/>
      </c>
      <c r="K12" s="33">
        <f>Model_Base!K12</f>
        <v/>
      </c>
      <c r="L12" s="33">
        <f>Model_Base!L12</f>
        <v/>
      </c>
      <c r="M12" s="33">
        <f>Model_Base!M12</f>
        <v/>
      </c>
      <c r="N12" s="33">
        <f>Model_Base!N12</f>
        <v/>
      </c>
      <c r="O12" s="33">
        <f>Model_Base!O12</f>
        <v/>
      </c>
      <c r="P12" s="33">
        <f>Model_Base!P12</f>
        <v/>
      </c>
      <c r="Q12" s="33">
        <f>Model_Base!Q12</f>
        <v/>
      </c>
      <c r="R12" s="33">
        <f>Model_Base!R12</f>
        <v/>
      </c>
      <c r="S12" s="33">
        <f>Model_Base!S12</f>
        <v/>
      </c>
      <c r="T12" s="33">
        <f>Model_Base!T12</f>
        <v/>
      </c>
      <c r="U12" s="33">
        <f>Model_Base!U12</f>
        <v/>
      </c>
      <c r="V12" s="33">
        <f>Model_Base!V12</f>
        <v/>
      </c>
      <c r="W12" s="33">
        <f>Model_Base!W12</f>
        <v/>
      </c>
      <c r="X12" s="33">
        <f>Model_Base!X12</f>
        <v/>
      </c>
      <c r="Y12" s="33">
        <f>Model_Base!Y12</f>
        <v/>
      </c>
      <c r="Z12" s="33">
        <f>Model_Base!Z12</f>
        <v/>
      </c>
      <c r="AA12" s="33">
        <f>Model_Base!AA12</f>
        <v/>
      </c>
      <c r="AB12" s="33">
        <f>Model_Base!AB12</f>
        <v/>
      </c>
      <c r="AC12" s="33">
        <f>Model_Base!AC12</f>
        <v/>
      </c>
      <c r="AD12" s="33">
        <f>Model_Base!AD12</f>
        <v/>
      </c>
      <c r="AE12" s="33">
        <f>Model_Base!AE12</f>
        <v/>
      </c>
      <c r="AF12" s="33">
        <f>Model_Base!AF12</f>
        <v/>
      </c>
      <c r="AG12" s="24">
        <f>AC12*(1+AG49)</f>
        <v/>
      </c>
      <c r="AH12" s="24">
        <f>AD12*(1+AH49)</f>
        <v/>
      </c>
      <c r="AI12" s="24">
        <f>AE12*(1+AI49)</f>
        <v/>
      </c>
      <c r="AJ12" s="24">
        <f>AF12*(1+AJ49)</f>
        <v/>
      </c>
      <c r="AK12" s="24">
        <f>AG12*(1+AK49)</f>
        <v/>
      </c>
      <c r="AL12" s="24">
        <f>AH12*(1+AL49)</f>
        <v/>
      </c>
    </row>
    <row r="13">
      <c r="A13" s="22" t="inlineStr">
        <is>
          <t>Other Bets</t>
        </is>
      </c>
      <c r="C13" s="33">
        <f>Model_Base!C13</f>
        <v/>
      </c>
      <c r="D13" s="33">
        <f>Model_Base!D13</f>
        <v/>
      </c>
      <c r="E13" s="33">
        <f>Model_Base!E13</f>
        <v/>
      </c>
      <c r="F13" s="33">
        <f>Model_Base!F13</f>
        <v/>
      </c>
      <c r="G13" s="33">
        <f>Model_Base!G13</f>
        <v/>
      </c>
      <c r="H13" s="33">
        <f>Model_Base!H13</f>
        <v/>
      </c>
      <c r="I13" s="33">
        <f>Model_Base!I13</f>
        <v/>
      </c>
      <c r="J13" s="33">
        <f>Model_Base!J13</f>
        <v/>
      </c>
      <c r="K13" s="33">
        <f>Model_Base!K13</f>
        <v/>
      </c>
      <c r="L13" s="33">
        <f>Model_Base!L13</f>
        <v/>
      </c>
      <c r="M13" s="33">
        <f>Model_Base!M13</f>
        <v/>
      </c>
      <c r="N13" s="33">
        <f>Model_Base!N13</f>
        <v/>
      </c>
      <c r="O13" s="33">
        <f>Model_Base!O13</f>
        <v/>
      </c>
      <c r="P13" s="33">
        <f>Model_Base!P13</f>
        <v/>
      </c>
      <c r="Q13" s="33">
        <f>Model_Base!Q13</f>
        <v/>
      </c>
      <c r="R13" s="33">
        <f>Model_Base!R13</f>
        <v/>
      </c>
      <c r="S13" s="33">
        <f>Model_Base!S13</f>
        <v/>
      </c>
      <c r="T13" s="33">
        <f>Model_Base!T13</f>
        <v/>
      </c>
      <c r="U13" s="33">
        <f>Model_Base!U13</f>
        <v/>
      </c>
      <c r="V13" s="33">
        <f>Model_Base!V13</f>
        <v/>
      </c>
      <c r="W13" s="33">
        <f>Model_Base!W13</f>
        <v/>
      </c>
      <c r="X13" s="33">
        <f>Model_Base!X13</f>
        <v/>
      </c>
      <c r="Y13" s="33">
        <f>Model_Base!Y13</f>
        <v/>
      </c>
      <c r="Z13" s="33">
        <f>Model_Base!Z13</f>
        <v/>
      </c>
      <c r="AA13" s="33">
        <f>Model_Base!AA13</f>
        <v/>
      </c>
      <c r="AB13" s="33">
        <f>Model_Base!AB13</f>
        <v/>
      </c>
      <c r="AC13" s="33">
        <f>Model_Base!AC13</f>
        <v/>
      </c>
      <c r="AD13" s="33">
        <f>Model_Base!AD13</f>
        <v/>
      </c>
      <c r="AE13" s="33">
        <f>Model_Base!AE13</f>
        <v/>
      </c>
      <c r="AF13" s="33">
        <f>Model_Base!AF13</f>
        <v/>
      </c>
      <c r="AG13" s="24">
        <f>AC13*(1+AG50)</f>
        <v/>
      </c>
      <c r="AH13" s="24">
        <f>AD13*(1+AH50)</f>
        <v/>
      </c>
      <c r="AI13" s="24">
        <f>AE13*(1+AI50)</f>
        <v/>
      </c>
      <c r="AJ13" s="24">
        <f>AF13*(1+AJ50)</f>
        <v/>
      </c>
      <c r="AK13" s="24">
        <f>AG13*(1+AK50)</f>
        <v/>
      </c>
      <c r="AL13" s="24">
        <f>AH13*(1+AL50)</f>
        <v/>
      </c>
    </row>
    <row r="14">
      <c r="A14" s="22" t="inlineStr">
        <is>
          <t>Hedging gains / (losses)</t>
        </is>
      </c>
      <c r="C14" s="33">
        <f>Model_Base!C14</f>
        <v/>
      </c>
      <c r="D14" s="33">
        <f>Model_Base!D14</f>
        <v/>
      </c>
      <c r="E14" s="33">
        <f>Model_Base!E14</f>
        <v/>
      </c>
      <c r="F14" s="33">
        <f>Model_Base!F14</f>
        <v/>
      </c>
      <c r="G14" s="33">
        <f>Model_Base!G14</f>
        <v/>
      </c>
      <c r="H14" s="33">
        <f>Model_Base!H14</f>
        <v/>
      </c>
      <c r="I14" s="33">
        <f>Model_Base!I14</f>
        <v/>
      </c>
      <c r="J14" s="33">
        <f>Model_Base!J14</f>
        <v/>
      </c>
      <c r="K14" s="33">
        <f>Model_Base!K14</f>
        <v/>
      </c>
      <c r="L14" s="33">
        <f>Model_Base!L14</f>
        <v/>
      </c>
      <c r="M14" s="33">
        <f>Model_Base!M14</f>
        <v/>
      </c>
      <c r="N14" s="33">
        <f>Model_Base!N14</f>
        <v/>
      </c>
      <c r="O14" s="33">
        <f>Model_Base!O14</f>
        <v/>
      </c>
      <c r="P14" s="33">
        <f>Model_Base!P14</f>
        <v/>
      </c>
      <c r="Q14" s="33">
        <f>Model_Base!Q14</f>
        <v/>
      </c>
      <c r="R14" s="33">
        <f>Model_Base!R14</f>
        <v/>
      </c>
      <c r="S14" s="33">
        <f>Model_Base!S14</f>
        <v/>
      </c>
      <c r="T14" s="33">
        <f>Model_Base!T14</f>
        <v/>
      </c>
      <c r="U14" s="33">
        <f>Model_Base!U14</f>
        <v/>
      </c>
      <c r="V14" s="33">
        <f>Model_Base!V14</f>
        <v/>
      </c>
      <c r="W14" s="33">
        <f>Model_Base!W14</f>
        <v/>
      </c>
      <c r="X14" s="33">
        <f>Model_Base!X14</f>
        <v/>
      </c>
      <c r="Y14" s="33">
        <f>Model_Base!Y14</f>
        <v/>
      </c>
      <c r="Z14" s="33">
        <f>Model_Base!Z14</f>
        <v/>
      </c>
      <c r="AA14" s="33">
        <f>Model_Base!AA14</f>
        <v/>
      </c>
      <c r="AB14" s="33">
        <f>Model_Base!AB14</f>
        <v/>
      </c>
      <c r="AC14" s="33">
        <f>Model_Base!AC14</f>
        <v/>
      </c>
      <c r="AD14" s="33">
        <f>Model_Base!AD14</f>
        <v/>
      </c>
      <c r="AE14" s="33">
        <f>Model_Base!AE14</f>
        <v/>
      </c>
      <c r="AF14" s="33">
        <f>Model_Base!AF14</f>
        <v/>
      </c>
      <c r="AG14" s="24" t="n">
        <v>0</v>
      </c>
      <c r="AH14" s="24" t="n">
        <v>0</v>
      </c>
      <c r="AI14" s="24" t="n">
        <v>0</v>
      </c>
      <c r="AJ14" s="24" t="n">
        <v>0</v>
      </c>
      <c r="AK14" s="24" t="n">
        <v>0</v>
      </c>
      <c r="AL14" s="24" t="n">
        <v>0</v>
      </c>
    </row>
    <row r="15">
      <c r="A15" s="6" t="inlineStr">
        <is>
          <t>Total revenues</t>
        </is>
      </c>
      <c r="C15" s="25">
        <f>SUM(C8:C14)</f>
        <v/>
      </c>
      <c r="D15" s="25">
        <f>SUM(D8:D14)</f>
        <v/>
      </c>
      <c r="E15" s="25">
        <f>SUM(E8:E14)</f>
        <v/>
      </c>
      <c r="F15" s="25">
        <f>SUM(F8:F14)</f>
        <v/>
      </c>
      <c r="G15" s="25">
        <f>SUM(G8:G14)</f>
        <v/>
      </c>
      <c r="H15" s="25">
        <f>SUM(H8:H14)</f>
        <v/>
      </c>
      <c r="I15" s="25">
        <f>SUM(I8:I14)</f>
        <v/>
      </c>
      <c r="J15" s="25">
        <f>SUM(J8:J14)</f>
        <v/>
      </c>
      <c r="K15" s="25">
        <f>SUM(K8:K14)</f>
        <v/>
      </c>
      <c r="L15" s="25">
        <f>SUM(L8:L14)</f>
        <v/>
      </c>
      <c r="M15" s="25">
        <f>SUM(M8:M14)</f>
        <v/>
      </c>
      <c r="N15" s="25">
        <f>SUM(N8:N14)</f>
        <v/>
      </c>
      <c r="O15" s="25">
        <f>SUM(O8:O14)</f>
        <v/>
      </c>
      <c r="P15" s="25">
        <f>SUM(P8:P14)</f>
        <v/>
      </c>
      <c r="Q15" s="25">
        <f>SUM(Q8:Q14)</f>
        <v/>
      </c>
      <c r="R15" s="25">
        <f>SUM(R8:R14)</f>
        <v/>
      </c>
      <c r="S15" s="25">
        <f>SUM(S8:S14)</f>
        <v/>
      </c>
      <c r="T15" s="25">
        <f>SUM(T8:T14)</f>
        <v/>
      </c>
      <c r="U15" s="25">
        <f>SUM(U8:U14)</f>
        <v/>
      </c>
      <c r="V15" s="25">
        <f>SUM(V8:V14)</f>
        <v/>
      </c>
      <c r="W15" s="25">
        <f>SUM(W8:W14)</f>
        <v/>
      </c>
      <c r="X15" s="25">
        <f>SUM(X8:X14)</f>
        <v/>
      </c>
      <c r="Y15" s="25">
        <f>SUM(Y8:Y14)</f>
        <v/>
      </c>
      <c r="Z15" s="25">
        <f>SUM(Z8:Z14)</f>
        <v/>
      </c>
      <c r="AA15" s="25">
        <f>SUM(AA8:AA14)</f>
        <v/>
      </c>
      <c r="AB15" s="25">
        <f>SUM(AB8:AB14)</f>
        <v/>
      </c>
      <c r="AC15" s="25">
        <f>SUM(AC8:AC14)</f>
        <v/>
      </c>
      <c r="AD15" s="25">
        <f>SUM(AD8:AD14)</f>
        <v/>
      </c>
      <c r="AE15" s="25">
        <f>SUM(AE8:AE14)</f>
        <v/>
      </c>
      <c r="AF15" s="25">
        <f>SUM(AF8:AF14)</f>
        <v/>
      </c>
      <c r="AG15" s="26">
        <f>SUM(AG8:AG14)</f>
        <v/>
      </c>
      <c r="AH15" s="26">
        <f>SUM(AH8:AH14)</f>
        <v/>
      </c>
      <c r="AI15" s="26">
        <f>SUM(AI8:AI14)</f>
        <v/>
      </c>
      <c r="AJ15" s="26">
        <f>SUM(AJ8:AJ14)</f>
        <v/>
      </c>
      <c r="AK15" s="26">
        <f>SUM(AK8:AK14)</f>
        <v/>
      </c>
      <c r="AL15" s="26">
        <f>SUM(AL8:AL14)</f>
        <v/>
      </c>
    </row>
    <row r="17">
      <c r="A17" s="6" t="inlineStr">
        <is>
          <t>YoY GROWTH</t>
        </is>
      </c>
    </row>
    <row r="18">
      <c r="A18" s="22" t="inlineStr">
        <is>
          <t>Search &amp; other</t>
        </is>
      </c>
      <c r="G18" s="27">
        <f>G8/C8-1</f>
        <v/>
      </c>
      <c r="H18" s="27">
        <f>H8/D8-1</f>
        <v/>
      </c>
      <c r="I18" s="27">
        <f>I8/E8-1</f>
        <v/>
      </c>
      <c r="J18" s="27">
        <f>J8/F8-1</f>
        <v/>
      </c>
      <c r="K18" s="27">
        <f>K8/G8-1</f>
        <v/>
      </c>
      <c r="L18" s="27">
        <f>L8/H8-1</f>
        <v/>
      </c>
      <c r="M18" s="27">
        <f>M8/I8-1</f>
        <v/>
      </c>
      <c r="N18" s="27">
        <f>N8/J8-1</f>
        <v/>
      </c>
      <c r="O18" s="27">
        <f>O8/K8-1</f>
        <v/>
      </c>
      <c r="P18" s="27">
        <f>P8/L8-1</f>
        <v/>
      </c>
      <c r="Q18" s="27">
        <f>Q8/M8-1</f>
        <v/>
      </c>
      <c r="R18" s="27">
        <f>R8/N8-1</f>
        <v/>
      </c>
      <c r="S18" s="27">
        <f>S8/O8-1</f>
        <v/>
      </c>
      <c r="T18" s="27">
        <f>T8/P8-1</f>
        <v/>
      </c>
      <c r="U18" s="27">
        <f>U8/Q8-1</f>
        <v/>
      </c>
      <c r="V18" s="27">
        <f>V8/R8-1</f>
        <v/>
      </c>
      <c r="W18" s="27">
        <f>W8/S8-1</f>
        <v/>
      </c>
      <c r="X18" s="27">
        <f>X8/T8-1</f>
        <v/>
      </c>
      <c r="Y18" s="27">
        <f>Y8/U8-1</f>
        <v/>
      </c>
      <c r="Z18" s="27">
        <f>Z8/V8-1</f>
        <v/>
      </c>
      <c r="AA18" s="27">
        <f>AA8/W8-1</f>
        <v/>
      </c>
      <c r="AB18" s="27">
        <f>AB8/X8-1</f>
        <v/>
      </c>
      <c r="AC18" s="27">
        <f>AC8/Y8-1</f>
        <v/>
      </c>
      <c r="AD18" s="27">
        <f>AD8/Z8-1</f>
        <v/>
      </c>
      <c r="AE18" s="27">
        <f>AE8/AA8-1</f>
        <v/>
      </c>
      <c r="AF18" s="27">
        <f>AF8/AB8-1</f>
        <v/>
      </c>
      <c r="AG18" s="28">
        <f>AG8/AC8-1</f>
        <v/>
      </c>
      <c r="AH18" s="28">
        <f>AH8/AD8-1</f>
        <v/>
      </c>
      <c r="AI18" s="28">
        <f>AI8/AE8-1</f>
        <v/>
      </c>
      <c r="AJ18" s="28">
        <f>AJ8/AF8-1</f>
        <v/>
      </c>
      <c r="AK18" s="28">
        <f>AK8/AG8-1</f>
        <v/>
      </c>
      <c r="AL18" s="28">
        <f>AL8/AH8-1</f>
        <v/>
      </c>
    </row>
    <row r="19">
      <c r="A19" s="22" t="inlineStr">
        <is>
          <t>YouTube ads</t>
        </is>
      </c>
      <c r="G19" s="27">
        <f>G9/C9-1</f>
        <v/>
      </c>
      <c r="H19" s="27">
        <f>H9/D9-1</f>
        <v/>
      </c>
      <c r="I19" s="27">
        <f>I9/E9-1</f>
        <v/>
      </c>
      <c r="J19" s="27">
        <f>J9/F9-1</f>
        <v/>
      </c>
      <c r="K19" s="27">
        <f>K9/G9-1</f>
        <v/>
      </c>
      <c r="L19" s="27">
        <f>L9/H9-1</f>
        <v/>
      </c>
      <c r="M19" s="27">
        <f>M9/I9-1</f>
        <v/>
      </c>
      <c r="N19" s="27">
        <f>N9/J9-1</f>
        <v/>
      </c>
      <c r="O19" s="27">
        <f>O9/K9-1</f>
        <v/>
      </c>
      <c r="P19" s="27">
        <f>P9/L9-1</f>
        <v/>
      </c>
      <c r="Q19" s="27">
        <f>Q9/M9-1</f>
        <v/>
      </c>
      <c r="R19" s="27">
        <f>R9/N9-1</f>
        <v/>
      </c>
      <c r="S19" s="27">
        <f>S9/O9-1</f>
        <v/>
      </c>
      <c r="T19" s="27">
        <f>T9/P9-1</f>
        <v/>
      </c>
      <c r="U19" s="27">
        <f>U9/Q9-1</f>
        <v/>
      </c>
      <c r="V19" s="27">
        <f>V9/R9-1</f>
        <v/>
      </c>
      <c r="W19" s="27">
        <f>W9/S9-1</f>
        <v/>
      </c>
      <c r="X19" s="27">
        <f>X9/T9-1</f>
        <v/>
      </c>
      <c r="Y19" s="27">
        <f>Y9/U9-1</f>
        <v/>
      </c>
      <c r="Z19" s="27">
        <f>Z9/V9-1</f>
        <v/>
      </c>
      <c r="AA19" s="27">
        <f>AA9/W9-1</f>
        <v/>
      </c>
      <c r="AB19" s="27">
        <f>AB9/X9-1</f>
        <v/>
      </c>
      <c r="AC19" s="27">
        <f>AC9/Y9-1</f>
        <v/>
      </c>
      <c r="AD19" s="27">
        <f>AD9/Z9-1</f>
        <v/>
      </c>
      <c r="AE19" s="27">
        <f>AE9/AA9-1</f>
        <v/>
      </c>
      <c r="AF19" s="27">
        <f>AF9/AB9-1</f>
        <v/>
      </c>
      <c r="AG19" s="28">
        <f>AG9/AC9-1</f>
        <v/>
      </c>
      <c r="AH19" s="28">
        <f>AH9/AD9-1</f>
        <v/>
      </c>
      <c r="AI19" s="28">
        <f>AI9/AE9-1</f>
        <v/>
      </c>
      <c r="AJ19" s="28">
        <f>AJ9/AF9-1</f>
        <v/>
      </c>
      <c r="AK19" s="28">
        <f>AK9/AG9-1</f>
        <v/>
      </c>
      <c r="AL19" s="28">
        <f>AL9/AH9-1</f>
        <v/>
      </c>
    </row>
    <row r="20">
      <c r="A20" s="22" t="inlineStr">
        <is>
          <t>Network</t>
        </is>
      </c>
      <c r="G20" s="27">
        <f>G10/C10-1</f>
        <v/>
      </c>
      <c r="H20" s="27">
        <f>H10/D10-1</f>
        <v/>
      </c>
      <c r="I20" s="27">
        <f>I10/E10-1</f>
        <v/>
      </c>
      <c r="J20" s="27">
        <f>J10/F10-1</f>
        <v/>
      </c>
      <c r="K20" s="27">
        <f>K10/G10-1</f>
        <v/>
      </c>
      <c r="L20" s="27">
        <f>L10/H10-1</f>
        <v/>
      </c>
      <c r="M20" s="27">
        <f>M10/I10-1</f>
        <v/>
      </c>
      <c r="N20" s="27">
        <f>N10/J10-1</f>
        <v/>
      </c>
      <c r="O20" s="27">
        <f>O10/K10-1</f>
        <v/>
      </c>
      <c r="P20" s="27">
        <f>P10/L10-1</f>
        <v/>
      </c>
      <c r="Q20" s="27">
        <f>Q10/M10-1</f>
        <v/>
      </c>
      <c r="R20" s="27">
        <f>R10/N10-1</f>
        <v/>
      </c>
      <c r="S20" s="27">
        <f>S10/O10-1</f>
        <v/>
      </c>
      <c r="T20" s="27">
        <f>T10/P10-1</f>
        <v/>
      </c>
      <c r="U20" s="27">
        <f>U10/Q10-1</f>
        <v/>
      </c>
      <c r="V20" s="27">
        <f>V10/R10-1</f>
        <v/>
      </c>
      <c r="W20" s="27">
        <f>W10/S10-1</f>
        <v/>
      </c>
      <c r="X20" s="27">
        <f>X10/T10-1</f>
        <v/>
      </c>
      <c r="Y20" s="27">
        <f>Y10/U10-1</f>
        <v/>
      </c>
      <c r="Z20" s="27">
        <f>Z10/V10-1</f>
        <v/>
      </c>
      <c r="AA20" s="27">
        <f>AA10/W10-1</f>
        <v/>
      </c>
      <c r="AB20" s="27">
        <f>AB10/X10-1</f>
        <v/>
      </c>
      <c r="AC20" s="27">
        <f>AC10/Y10-1</f>
        <v/>
      </c>
      <c r="AD20" s="27">
        <f>AD10/Z10-1</f>
        <v/>
      </c>
      <c r="AE20" s="27">
        <f>AE10/AA10-1</f>
        <v/>
      </c>
      <c r="AF20" s="27">
        <f>AF10/AB10-1</f>
        <v/>
      </c>
      <c r="AG20" s="28">
        <f>AG10/AC10-1</f>
        <v/>
      </c>
      <c r="AH20" s="28">
        <f>AH10/AD10-1</f>
        <v/>
      </c>
      <c r="AI20" s="28">
        <f>AI10/AE10-1</f>
        <v/>
      </c>
      <c r="AJ20" s="28">
        <f>AJ10/AF10-1</f>
        <v/>
      </c>
      <c r="AK20" s="28">
        <f>AK10/AG10-1</f>
        <v/>
      </c>
      <c r="AL20" s="28">
        <f>AL10/AH10-1</f>
        <v/>
      </c>
    </row>
    <row r="21">
      <c r="A21" s="22" t="inlineStr">
        <is>
          <t>Subscriptions, platforms &amp; devices</t>
        </is>
      </c>
      <c r="G21" s="27">
        <f>G11/C11-1</f>
        <v/>
      </c>
      <c r="H21" s="27">
        <f>H11/D11-1</f>
        <v/>
      </c>
      <c r="I21" s="27">
        <f>I11/E11-1</f>
        <v/>
      </c>
      <c r="J21" s="27">
        <f>J11/F11-1</f>
        <v/>
      </c>
      <c r="K21" s="27">
        <f>K11/G11-1</f>
        <v/>
      </c>
      <c r="L21" s="27">
        <f>L11/H11-1</f>
        <v/>
      </c>
      <c r="M21" s="27">
        <f>M11/I11-1</f>
        <v/>
      </c>
      <c r="N21" s="27">
        <f>N11/J11-1</f>
        <v/>
      </c>
      <c r="O21" s="27">
        <f>O11/K11-1</f>
        <v/>
      </c>
      <c r="P21" s="27">
        <f>P11/L11-1</f>
        <v/>
      </c>
      <c r="Q21" s="27">
        <f>Q11/M11-1</f>
        <v/>
      </c>
      <c r="R21" s="27">
        <f>R11/N11-1</f>
        <v/>
      </c>
      <c r="S21" s="27">
        <f>S11/O11-1</f>
        <v/>
      </c>
      <c r="T21" s="27">
        <f>T11/P11-1</f>
        <v/>
      </c>
      <c r="U21" s="27">
        <f>U11/Q11-1</f>
        <v/>
      </c>
      <c r="V21" s="27">
        <f>V11/R11-1</f>
        <v/>
      </c>
      <c r="W21" s="27">
        <f>W11/S11-1</f>
        <v/>
      </c>
      <c r="X21" s="27">
        <f>X11/T11-1</f>
        <v/>
      </c>
      <c r="Y21" s="27">
        <f>Y11/U11-1</f>
        <v/>
      </c>
      <c r="Z21" s="27">
        <f>Z11/V11-1</f>
        <v/>
      </c>
      <c r="AA21" s="27">
        <f>AA11/W11-1</f>
        <v/>
      </c>
      <c r="AB21" s="27">
        <f>AB11/X11-1</f>
        <v/>
      </c>
      <c r="AC21" s="27">
        <f>AC11/Y11-1</f>
        <v/>
      </c>
      <c r="AD21" s="27">
        <f>AD11/Z11-1</f>
        <v/>
      </c>
      <c r="AE21" s="27">
        <f>AE11/AA11-1</f>
        <v/>
      </c>
      <c r="AF21" s="27">
        <f>AF11/AB11-1</f>
        <v/>
      </c>
      <c r="AG21" s="28">
        <f>AG11/AC11-1</f>
        <v/>
      </c>
      <c r="AH21" s="28">
        <f>AH11/AD11-1</f>
        <v/>
      </c>
      <c r="AI21" s="28">
        <f>AI11/AE11-1</f>
        <v/>
      </c>
      <c r="AJ21" s="28">
        <f>AJ11/AF11-1</f>
        <v/>
      </c>
      <c r="AK21" s="28">
        <f>AK11/AG11-1</f>
        <v/>
      </c>
      <c r="AL21" s="28">
        <f>AL11/AH11-1</f>
        <v/>
      </c>
    </row>
    <row r="22">
      <c r="A22" s="22" t="inlineStr">
        <is>
          <t>Google Cloud</t>
        </is>
      </c>
      <c r="G22" s="27">
        <f>G12/C12-1</f>
        <v/>
      </c>
      <c r="H22" s="27">
        <f>H12/D12-1</f>
        <v/>
      </c>
      <c r="I22" s="27">
        <f>I12/E12-1</f>
        <v/>
      </c>
      <c r="J22" s="27">
        <f>J12/F12-1</f>
        <v/>
      </c>
      <c r="K22" s="27">
        <f>K12/G12-1</f>
        <v/>
      </c>
      <c r="L22" s="27">
        <f>L12/H12-1</f>
        <v/>
      </c>
      <c r="M22" s="27">
        <f>M12/I12-1</f>
        <v/>
      </c>
      <c r="N22" s="27">
        <f>N12/J12-1</f>
        <v/>
      </c>
      <c r="O22" s="27">
        <f>O12/K12-1</f>
        <v/>
      </c>
      <c r="P22" s="27">
        <f>P12/L12-1</f>
        <v/>
      </c>
      <c r="Q22" s="27">
        <f>Q12/M12-1</f>
        <v/>
      </c>
      <c r="R22" s="27">
        <f>R12/N12-1</f>
        <v/>
      </c>
      <c r="S22" s="27">
        <f>S12/O12-1</f>
        <v/>
      </c>
      <c r="T22" s="27">
        <f>T12/P12-1</f>
        <v/>
      </c>
      <c r="U22" s="27">
        <f>U12/Q12-1</f>
        <v/>
      </c>
      <c r="V22" s="27">
        <f>V12/R12-1</f>
        <v/>
      </c>
      <c r="W22" s="27">
        <f>W12/S12-1</f>
        <v/>
      </c>
      <c r="X22" s="27">
        <f>X12/T12-1</f>
        <v/>
      </c>
      <c r="Y22" s="27">
        <f>Y12/U12-1</f>
        <v/>
      </c>
      <c r="Z22" s="27">
        <f>Z12/V12-1</f>
        <v/>
      </c>
      <c r="AA22" s="27">
        <f>AA12/W12-1</f>
        <v/>
      </c>
      <c r="AB22" s="27">
        <f>AB12/X12-1</f>
        <v/>
      </c>
      <c r="AC22" s="27">
        <f>AC12/Y12-1</f>
        <v/>
      </c>
      <c r="AD22" s="27">
        <f>AD12/Z12-1</f>
        <v/>
      </c>
      <c r="AE22" s="27">
        <f>AE12/AA12-1</f>
        <v/>
      </c>
      <c r="AF22" s="27">
        <f>AF12/AB12-1</f>
        <v/>
      </c>
      <c r="AG22" s="28">
        <f>AG12/AC12-1</f>
        <v/>
      </c>
      <c r="AH22" s="28">
        <f>AH12/AD12-1</f>
        <v/>
      </c>
      <c r="AI22" s="28">
        <f>AI12/AE12-1</f>
        <v/>
      </c>
      <c r="AJ22" s="28">
        <f>AJ12/AF12-1</f>
        <v/>
      </c>
      <c r="AK22" s="28">
        <f>AK12/AG12-1</f>
        <v/>
      </c>
      <c r="AL22" s="28">
        <f>AL12/AH12-1</f>
        <v/>
      </c>
    </row>
    <row r="23">
      <c r="A23" s="22" t="inlineStr">
        <is>
          <t>Other Bets</t>
        </is>
      </c>
      <c r="G23" s="27">
        <f>G13/C13-1</f>
        <v/>
      </c>
      <c r="H23" s="27">
        <f>H13/D13-1</f>
        <v/>
      </c>
      <c r="I23" s="27">
        <f>I13/E13-1</f>
        <v/>
      </c>
      <c r="J23" s="27">
        <f>J13/F13-1</f>
        <v/>
      </c>
      <c r="K23" s="27">
        <f>K13/G13-1</f>
        <v/>
      </c>
      <c r="L23" s="27">
        <f>L13/H13-1</f>
        <v/>
      </c>
      <c r="M23" s="27">
        <f>M13/I13-1</f>
        <v/>
      </c>
      <c r="N23" s="27">
        <f>N13/J13-1</f>
        <v/>
      </c>
      <c r="O23" s="27">
        <f>O13/K13-1</f>
        <v/>
      </c>
      <c r="P23" s="27">
        <f>P13/L13-1</f>
        <v/>
      </c>
      <c r="Q23" s="27">
        <f>Q13/M13-1</f>
        <v/>
      </c>
      <c r="R23" s="27">
        <f>R13/N13-1</f>
        <v/>
      </c>
      <c r="S23" s="27">
        <f>S13/O13-1</f>
        <v/>
      </c>
      <c r="T23" s="27">
        <f>T13/P13-1</f>
        <v/>
      </c>
      <c r="U23" s="27">
        <f>U13/Q13-1</f>
        <v/>
      </c>
      <c r="V23" s="27">
        <f>V13/R13-1</f>
        <v/>
      </c>
      <c r="W23" s="27">
        <f>W13/S13-1</f>
        <v/>
      </c>
      <c r="X23" s="27">
        <f>X13/T13-1</f>
        <v/>
      </c>
      <c r="Y23" s="27">
        <f>Y13/U13-1</f>
        <v/>
      </c>
      <c r="Z23" s="27">
        <f>Z13/V13-1</f>
        <v/>
      </c>
      <c r="AA23" s="27">
        <f>AA13/W13-1</f>
        <v/>
      </c>
      <c r="AB23" s="27">
        <f>AB13/X13-1</f>
        <v/>
      </c>
      <c r="AC23" s="27">
        <f>AC13/Y13-1</f>
        <v/>
      </c>
      <c r="AD23" s="27">
        <f>AD13/Z13-1</f>
        <v/>
      </c>
      <c r="AE23" s="27">
        <f>AE13/AA13-1</f>
        <v/>
      </c>
      <c r="AF23" s="27">
        <f>AF13/AB13-1</f>
        <v/>
      </c>
      <c r="AG23" s="28">
        <f>AG13/AC13-1</f>
        <v/>
      </c>
      <c r="AH23" s="28">
        <f>AH13/AD13-1</f>
        <v/>
      </c>
      <c r="AI23" s="28">
        <f>AI13/AE13-1</f>
        <v/>
      </c>
      <c r="AJ23" s="28">
        <f>AJ13/AF13-1</f>
        <v/>
      </c>
      <c r="AK23" s="28">
        <f>AK13/AG13-1</f>
        <v/>
      </c>
      <c r="AL23" s="28">
        <f>AL13/AH13-1</f>
        <v/>
      </c>
    </row>
    <row r="24">
      <c r="A24" s="6" t="inlineStr">
        <is>
          <t>Total revenues</t>
        </is>
      </c>
      <c r="G24" s="29">
        <f>G15/C15-1</f>
        <v/>
      </c>
      <c r="H24" s="29">
        <f>H15/D15-1</f>
        <v/>
      </c>
      <c r="I24" s="29">
        <f>I15/E15-1</f>
        <v/>
      </c>
      <c r="J24" s="29">
        <f>J15/F15-1</f>
        <v/>
      </c>
      <c r="K24" s="29">
        <f>K15/G15-1</f>
        <v/>
      </c>
      <c r="L24" s="29">
        <f>L15/H15-1</f>
        <v/>
      </c>
      <c r="M24" s="29">
        <f>M15/I15-1</f>
        <v/>
      </c>
      <c r="N24" s="29">
        <f>N15/J15-1</f>
        <v/>
      </c>
      <c r="O24" s="29">
        <f>O15/K15-1</f>
        <v/>
      </c>
      <c r="P24" s="29">
        <f>P15/L15-1</f>
        <v/>
      </c>
      <c r="Q24" s="29">
        <f>Q15/M15-1</f>
        <v/>
      </c>
      <c r="R24" s="29">
        <f>R15/N15-1</f>
        <v/>
      </c>
      <c r="S24" s="29">
        <f>S15/O15-1</f>
        <v/>
      </c>
      <c r="T24" s="29">
        <f>T15/P15-1</f>
        <v/>
      </c>
      <c r="U24" s="29">
        <f>U15/Q15-1</f>
        <v/>
      </c>
      <c r="V24" s="29">
        <f>V15/R15-1</f>
        <v/>
      </c>
      <c r="W24" s="29">
        <f>W15/S15-1</f>
        <v/>
      </c>
      <c r="X24" s="29">
        <f>X15/T15-1</f>
        <v/>
      </c>
      <c r="Y24" s="29">
        <f>Y15/U15-1</f>
        <v/>
      </c>
      <c r="Z24" s="29">
        <f>Z15/V15-1</f>
        <v/>
      </c>
      <c r="AA24" s="29">
        <f>AA15/W15-1</f>
        <v/>
      </c>
      <c r="AB24" s="29">
        <f>AB15/X15-1</f>
        <v/>
      </c>
      <c r="AC24" s="29">
        <f>AC15/Y15-1</f>
        <v/>
      </c>
      <c r="AD24" s="29">
        <f>AD15/Z15-1</f>
        <v/>
      </c>
      <c r="AE24" s="29">
        <f>AE15/AA15-1</f>
        <v/>
      </c>
      <c r="AF24" s="29">
        <f>AF15/AB15-1</f>
        <v/>
      </c>
      <c r="AG24" s="30">
        <f>AG15/AC15-1</f>
        <v/>
      </c>
      <c r="AH24" s="30">
        <f>AH15/AD15-1</f>
        <v/>
      </c>
      <c r="AI24" s="30">
        <f>AI15/AE15-1</f>
        <v/>
      </c>
      <c r="AJ24" s="30">
        <f>AJ15/AF15-1</f>
        <v/>
      </c>
      <c r="AK24" s="30">
        <f>AK15/AG15-1</f>
        <v/>
      </c>
      <c r="AL24" s="30">
        <f>AL15/AH15-1</f>
        <v/>
      </c>
    </row>
    <row r="26">
      <c r="A26" s="6" t="inlineStr">
        <is>
          <t>PROFIT &amp; LOSS</t>
        </is>
      </c>
    </row>
    <row r="27">
      <c r="A27" s="22" t="inlineStr">
        <is>
          <t>Cost of revenues</t>
        </is>
      </c>
      <c r="C27" s="33">
        <f>Model_Base!C27</f>
        <v/>
      </c>
      <c r="D27" s="33">
        <f>Model_Base!D27</f>
        <v/>
      </c>
      <c r="E27" s="33">
        <f>Model_Base!E27</f>
        <v/>
      </c>
      <c r="F27" s="33">
        <f>Model_Base!F27</f>
        <v/>
      </c>
      <c r="G27" s="33">
        <f>Model_Base!G27</f>
        <v/>
      </c>
      <c r="H27" s="33">
        <f>Model_Base!H27</f>
        <v/>
      </c>
      <c r="I27" s="33">
        <f>Model_Base!I27</f>
        <v/>
      </c>
      <c r="J27" s="33">
        <f>Model_Base!J27</f>
        <v/>
      </c>
      <c r="K27" s="33">
        <f>Model_Base!K27</f>
        <v/>
      </c>
      <c r="L27" s="33">
        <f>Model_Base!L27</f>
        <v/>
      </c>
      <c r="M27" s="33">
        <f>Model_Base!M27</f>
        <v/>
      </c>
      <c r="N27" s="33">
        <f>Model_Base!N27</f>
        <v/>
      </c>
      <c r="O27" s="33">
        <f>Model_Base!O27</f>
        <v/>
      </c>
      <c r="P27" s="33">
        <f>Model_Base!P27</f>
        <v/>
      </c>
      <c r="Q27" s="33">
        <f>Model_Base!Q27</f>
        <v/>
      </c>
      <c r="R27" s="33">
        <f>Model_Base!R27</f>
        <v/>
      </c>
      <c r="S27" s="33">
        <f>Model_Base!S27</f>
        <v/>
      </c>
      <c r="T27" s="33">
        <f>Model_Base!T27</f>
        <v/>
      </c>
      <c r="U27" s="33">
        <f>Model_Base!U27</f>
        <v/>
      </c>
      <c r="V27" s="33">
        <f>Model_Base!V27</f>
        <v/>
      </c>
      <c r="W27" s="33">
        <f>Model_Base!W27</f>
        <v/>
      </c>
      <c r="X27" s="33">
        <f>Model_Base!X27</f>
        <v/>
      </c>
      <c r="Y27" s="33">
        <f>Model_Base!Y27</f>
        <v/>
      </c>
      <c r="Z27" s="33">
        <f>Model_Base!Z27</f>
        <v/>
      </c>
      <c r="AA27" s="33">
        <f>Model_Base!AA27</f>
        <v/>
      </c>
      <c r="AB27" s="33">
        <f>Model_Base!AB27</f>
        <v/>
      </c>
      <c r="AC27" s="33">
        <f>Model_Base!AC27</f>
        <v/>
      </c>
      <c r="AD27" s="33">
        <f>Model_Base!AD27</f>
        <v/>
      </c>
      <c r="AE27" s="33">
        <f>Model_Base!AE27</f>
        <v/>
      </c>
      <c r="AF27" s="33">
        <f>Model_Base!AF27</f>
        <v/>
      </c>
      <c r="AG27" s="24">
        <f>AG15*AG39</f>
        <v/>
      </c>
      <c r="AH27" s="24">
        <f>AH15*AH39</f>
        <v/>
      </c>
      <c r="AI27" s="24">
        <f>AI15*AI39</f>
        <v/>
      </c>
      <c r="AJ27" s="24">
        <f>AJ15*AJ39</f>
        <v/>
      </c>
      <c r="AK27" s="24">
        <f>AK15*AK39</f>
        <v/>
      </c>
      <c r="AL27" s="24">
        <f>AL15*AL39</f>
        <v/>
      </c>
    </row>
    <row r="28">
      <c r="A28" s="6" t="inlineStr">
        <is>
          <t>Gross profit</t>
        </is>
      </c>
      <c r="C28" s="25">
        <f>C15-C27</f>
        <v/>
      </c>
      <c r="D28" s="25">
        <f>D15-D27</f>
        <v/>
      </c>
      <c r="E28" s="25">
        <f>E15-E27</f>
        <v/>
      </c>
      <c r="F28" s="25">
        <f>F15-F27</f>
        <v/>
      </c>
      <c r="G28" s="25">
        <f>G15-G27</f>
        <v/>
      </c>
      <c r="H28" s="25">
        <f>H15-H27</f>
        <v/>
      </c>
      <c r="I28" s="25">
        <f>I15-I27</f>
        <v/>
      </c>
      <c r="J28" s="25">
        <f>J15-J27</f>
        <v/>
      </c>
      <c r="K28" s="25">
        <f>K15-K27</f>
        <v/>
      </c>
      <c r="L28" s="25">
        <f>L15-L27</f>
        <v/>
      </c>
      <c r="M28" s="25">
        <f>M15-M27</f>
        <v/>
      </c>
      <c r="N28" s="25">
        <f>N15-N27</f>
        <v/>
      </c>
      <c r="O28" s="25">
        <f>O15-O27</f>
        <v/>
      </c>
      <c r="P28" s="25">
        <f>P15-P27</f>
        <v/>
      </c>
      <c r="Q28" s="25">
        <f>Q15-Q27</f>
        <v/>
      </c>
      <c r="R28" s="25">
        <f>R15-R27</f>
        <v/>
      </c>
      <c r="S28" s="25">
        <f>S15-S27</f>
        <v/>
      </c>
      <c r="T28" s="25">
        <f>T15-T27</f>
        <v/>
      </c>
      <c r="U28" s="25">
        <f>U15-U27</f>
        <v/>
      </c>
      <c r="V28" s="25">
        <f>V15-V27</f>
        <v/>
      </c>
      <c r="W28" s="25">
        <f>W15-W27</f>
        <v/>
      </c>
      <c r="X28" s="25">
        <f>X15-X27</f>
        <v/>
      </c>
      <c r="Y28" s="25">
        <f>Y15-Y27</f>
        <v/>
      </c>
      <c r="Z28" s="25">
        <f>Z15-Z27</f>
        <v/>
      </c>
      <c r="AA28" s="25">
        <f>AA15-AA27</f>
        <v/>
      </c>
      <c r="AB28" s="25">
        <f>AB15-AB27</f>
        <v/>
      </c>
      <c r="AC28" s="25">
        <f>AC15-AC27</f>
        <v/>
      </c>
      <c r="AD28" s="25">
        <f>AD15-AD27</f>
        <v/>
      </c>
      <c r="AE28" s="25">
        <f>AE15-AE27</f>
        <v/>
      </c>
      <c r="AF28" s="25">
        <f>AF15-AF27</f>
        <v/>
      </c>
      <c r="AG28" s="26">
        <f>AG15-AG27</f>
        <v/>
      </c>
      <c r="AH28" s="26">
        <f>AH15-AH27</f>
        <v/>
      </c>
      <c r="AI28" s="26">
        <f>AI15-AI27</f>
        <v/>
      </c>
      <c r="AJ28" s="26">
        <f>AJ15-AJ27</f>
        <v/>
      </c>
      <c r="AK28" s="26">
        <f>AK15-AK27</f>
        <v/>
      </c>
      <c r="AL28" s="26">
        <f>AL15-AL27</f>
        <v/>
      </c>
    </row>
    <row r="29">
      <c r="A29" s="4" t="inlineStr">
        <is>
          <t xml:space="preserve">  Gross margin</t>
        </is>
      </c>
      <c r="C29" s="27">
        <f>C28/C15</f>
        <v/>
      </c>
      <c r="D29" s="27">
        <f>D28/D15</f>
        <v/>
      </c>
      <c r="E29" s="27">
        <f>E28/E15</f>
        <v/>
      </c>
      <c r="F29" s="27">
        <f>F28/F15</f>
        <v/>
      </c>
      <c r="G29" s="27">
        <f>G28/G15</f>
        <v/>
      </c>
      <c r="H29" s="27">
        <f>H28/H15</f>
        <v/>
      </c>
      <c r="I29" s="27">
        <f>I28/I15</f>
        <v/>
      </c>
      <c r="J29" s="27">
        <f>J28/J15</f>
        <v/>
      </c>
      <c r="K29" s="27">
        <f>K28/K15</f>
        <v/>
      </c>
      <c r="L29" s="27">
        <f>L28/L15</f>
        <v/>
      </c>
      <c r="M29" s="27">
        <f>M28/M15</f>
        <v/>
      </c>
      <c r="N29" s="27">
        <f>N28/N15</f>
        <v/>
      </c>
      <c r="O29" s="27">
        <f>O28/O15</f>
        <v/>
      </c>
      <c r="P29" s="27">
        <f>P28/P15</f>
        <v/>
      </c>
      <c r="Q29" s="27">
        <f>Q28/Q15</f>
        <v/>
      </c>
      <c r="R29" s="27">
        <f>R28/R15</f>
        <v/>
      </c>
      <c r="S29" s="27">
        <f>S28/S15</f>
        <v/>
      </c>
      <c r="T29" s="27">
        <f>T28/T15</f>
        <v/>
      </c>
      <c r="U29" s="27">
        <f>U28/U15</f>
        <v/>
      </c>
      <c r="V29" s="27">
        <f>V28/V15</f>
        <v/>
      </c>
      <c r="W29" s="27">
        <f>W28/W15</f>
        <v/>
      </c>
      <c r="X29" s="27">
        <f>X28/X15</f>
        <v/>
      </c>
      <c r="Y29" s="27">
        <f>Y28/Y15</f>
        <v/>
      </c>
      <c r="Z29" s="27">
        <f>Z28/Z15</f>
        <v/>
      </c>
      <c r="AA29" s="27">
        <f>AA28/AA15</f>
        <v/>
      </c>
      <c r="AB29" s="27">
        <f>AB28/AB15</f>
        <v/>
      </c>
      <c r="AC29" s="27">
        <f>AC28/AC15</f>
        <v/>
      </c>
      <c r="AD29" s="27">
        <f>AD28/AD15</f>
        <v/>
      </c>
      <c r="AE29" s="27">
        <f>AE28/AE15</f>
        <v/>
      </c>
      <c r="AF29" s="27">
        <f>AF28/AF15</f>
        <v/>
      </c>
      <c r="AG29" s="28">
        <f>AG28/AG15</f>
        <v/>
      </c>
      <c r="AH29" s="28">
        <f>AH28/AH15</f>
        <v/>
      </c>
      <c r="AI29" s="28">
        <f>AI28/AI15</f>
        <v/>
      </c>
      <c r="AJ29" s="28">
        <f>AJ28/AJ15</f>
        <v/>
      </c>
      <c r="AK29" s="28">
        <f>AK28/AK15</f>
        <v/>
      </c>
      <c r="AL29" s="28">
        <f>AL28/AL15</f>
        <v/>
      </c>
    </row>
    <row r="30">
      <c r="A30" s="22" t="inlineStr">
        <is>
          <t>Research &amp; development</t>
        </is>
      </c>
      <c r="C30" s="33">
        <f>Model_Base!C30</f>
        <v/>
      </c>
      <c r="D30" s="33">
        <f>Model_Base!D30</f>
        <v/>
      </c>
      <c r="E30" s="33">
        <f>Model_Base!E30</f>
        <v/>
      </c>
      <c r="F30" s="33">
        <f>Model_Base!F30</f>
        <v/>
      </c>
      <c r="G30" s="33">
        <f>Model_Base!G30</f>
        <v/>
      </c>
      <c r="H30" s="33">
        <f>Model_Base!H30</f>
        <v/>
      </c>
      <c r="I30" s="33">
        <f>Model_Base!I30</f>
        <v/>
      </c>
      <c r="J30" s="33">
        <f>Model_Base!J30</f>
        <v/>
      </c>
      <c r="K30" s="33">
        <f>Model_Base!K30</f>
        <v/>
      </c>
      <c r="L30" s="33">
        <f>Model_Base!L30</f>
        <v/>
      </c>
      <c r="M30" s="33">
        <f>Model_Base!M30</f>
        <v/>
      </c>
      <c r="N30" s="33">
        <f>Model_Base!N30</f>
        <v/>
      </c>
      <c r="O30" s="33">
        <f>Model_Base!O30</f>
        <v/>
      </c>
      <c r="P30" s="33">
        <f>Model_Base!P30</f>
        <v/>
      </c>
      <c r="Q30" s="33">
        <f>Model_Base!Q30</f>
        <v/>
      </c>
      <c r="R30" s="33">
        <f>Model_Base!R30</f>
        <v/>
      </c>
      <c r="S30" s="33">
        <f>Model_Base!S30</f>
        <v/>
      </c>
      <c r="T30" s="33">
        <f>Model_Base!T30</f>
        <v/>
      </c>
      <c r="U30" s="33">
        <f>Model_Base!U30</f>
        <v/>
      </c>
      <c r="V30" s="33">
        <f>Model_Base!V30</f>
        <v/>
      </c>
      <c r="W30" s="33">
        <f>Model_Base!W30</f>
        <v/>
      </c>
      <c r="X30" s="33">
        <f>Model_Base!X30</f>
        <v/>
      </c>
      <c r="Y30" s="33">
        <f>Model_Base!Y30</f>
        <v/>
      </c>
      <c r="Z30" s="33">
        <f>Model_Base!Z30</f>
        <v/>
      </c>
      <c r="AA30" s="33">
        <f>Model_Base!AA30</f>
        <v/>
      </c>
      <c r="AB30" s="33">
        <f>Model_Base!AB30</f>
        <v/>
      </c>
      <c r="AC30" s="33">
        <f>Model_Base!AC30</f>
        <v/>
      </c>
      <c r="AD30" s="33">
        <f>Model_Base!AD30</f>
        <v/>
      </c>
      <c r="AE30" s="33">
        <f>Model_Base!AE30</f>
        <v/>
      </c>
      <c r="AF30" s="33">
        <f>Model_Base!AF30</f>
        <v/>
      </c>
      <c r="AG30" s="34">
        <f>Model_Base!AG30</f>
        <v/>
      </c>
      <c r="AH30" s="34">
        <f>Model_Base!AH30</f>
        <v/>
      </c>
      <c r="AI30" s="34">
        <f>Model_Base!AI30</f>
        <v/>
      </c>
      <c r="AJ30" s="34">
        <f>Model_Base!AJ30</f>
        <v/>
      </c>
      <c r="AK30" s="34">
        <f>Model_Base!AK30</f>
        <v/>
      </c>
      <c r="AL30" s="34">
        <f>Model_Base!AL30</f>
        <v/>
      </c>
    </row>
    <row r="31">
      <c r="A31" s="22" t="inlineStr">
        <is>
          <t>Sales &amp; marketing</t>
        </is>
      </c>
      <c r="C31" s="33">
        <f>Model_Base!C31</f>
        <v/>
      </c>
      <c r="D31" s="33">
        <f>Model_Base!D31</f>
        <v/>
      </c>
      <c r="E31" s="33">
        <f>Model_Base!E31</f>
        <v/>
      </c>
      <c r="F31" s="33">
        <f>Model_Base!F31</f>
        <v/>
      </c>
      <c r="G31" s="33">
        <f>Model_Base!G31</f>
        <v/>
      </c>
      <c r="H31" s="33">
        <f>Model_Base!H31</f>
        <v/>
      </c>
      <c r="I31" s="33">
        <f>Model_Base!I31</f>
        <v/>
      </c>
      <c r="J31" s="33">
        <f>Model_Base!J31</f>
        <v/>
      </c>
      <c r="K31" s="33">
        <f>Model_Base!K31</f>
        <v/>
      </c>
      <c r="L31" s="33">
        <f>Model_Base!L31</f>
        <v/>
      </c>
      <c r="M31" s="33">
        <f>Model_Base!M31</f>
        <v/>
      </c>
      <c r="N31" s="33">
        <f>Model_Base!N31</f>
        <v/>
      </c>
      <c r="O31" s="33">
        <f>Model_Base!O31</f>
        <v/>
      </c>
      <c r="P31" s="33">
        <f>Model_Base!P31</f>
        <v/>
      </c>
      <c r="Q31" s="33">
        <f>Model_Base!Q31</f>
        <v/>
      </c>
      <c r="R31" s="33">
        <f>Model_Base!R31</f>
        <v/>
      </c>
      <c r="S31" s="33">
        <f>Model_Base!S31</f>
        <v/>
      </c>
      <c r="T31" s="33">
        <f>Model_Base!T31</f>
        <v/>
      </c>
      <c r="U31" s="33">
        <f>Model_Base!U31</f>
        <v/>
      </c>
      <c r="V31" s="33">
        <f>Model_Base!V31</f>
        <v/>
      </c>
      <c r="W31" s="33">
        <f>Model_Base!W31</f>
        <v/>
      </c>
      <c r="X31" s="33">
        <f>Model_Base!X31</f>
        <v/>
      </c>
      <c r="Y31" s="33">
        <f>Model_Base!Y31</f>
        <v/>
      </c>
      <c r="Z31" s="33">
        <f>Model_Base!Z31</f>
        <v/>
      </c>
      <c r="AA31" s="33">
        <f>Model_Base!AA31</f>
        <v/>
      </c>
      <c r="AB31" s="33">
        <f>Model_Base!AB31</f>
        <v/>
      </c>
      <c r="AC31" s="33">
        <f>Model_Base!AC31</f>
        <v/>
      </c>
      <c r="AD31" s="33">
        <f>Model_Base!AD31</f>
        <v/>
      </c>
      <c r="AE31" s="33">
        <f>Model_Base!AE31</f>
        <v/>
      </c>
      <c r="AF31" s="33">
        <f>Model_Base!AF31</f>
        <v/>
      </c>
      <c r="AG31" s="24">
        <f>AG15*AG41</f>
        <v/>
      </c>
      <c r="AH31" s="24">
        <f>AH15*AH41</f>
        <v/>
      </c>
      <c r="AI31" s="24">
        <f>AI15*AI41</f>
        <v/>
      </c>
      <c r="AJ31" s="24">
        <f>AJ15*AJ41</f>
        <v/>
      </c>
      <c r="AK31" s="24">
        <f>AK15*AK41</f>
        <v/>
      </c>
      <c r="AL31" s="24">
        <f>AL15*AL41</f>
        <v/>
      </c>
    </row>
    <row r="32">
      <c r="A32" s="22" t="inlineStr">
        <is>
          <t>General &amp; administrative</t>
        </is>
      </c>
      <c r="C32" s="33">
        <f>Model_Base!C32</f>
        <v/>
      </c>
      <c r="D32" s="33">
        <f>Model_Base!D32</f>
        <v/>
      </c>
      <c r="E32" s="33">
        <f>Model_Base!E32</f>
        <v/>
      </c>
      <c r="F32" s="33">
        <f>Model_Base!F32</f>
        <v/>
      </c>
      <c r="G32" s="33">
        <f>Model_Base!G32</f>
        <v/>
      </c>
      <c r="H32" s="33">
        <f>Model_Base!H32</f>
        <v/>
      </c>
      <c r="I32" s="33">
        <f>Model_Base!I32</f>
        <v/>
      </c>
      <c r="J32" s="33">
        <f>Model_Base!J32</f>
        <v/>
      </c>
      <c r="K32" s="33">
        <f>Model_Base!K32</f>
        <v/>
      </c>
      <c r="L32" s="33">
        <f>Model_Base!L32</f>
        <v/>
      </c>
      <c r="M32" s="33">
        <f>Model_Base!M32</f>
        <v/>
      </c>
      <c r="N32" s="33">
        <f>Model_Base!N32</f>
        <v/>
      </c>
      <c r="O32" s="33">
        <f>Model_Base!O32</f>
        <v/>
      </c>
      <c r="P32" s="33">
        <f>Model_Base!P32</f>
        <v/>
      </c>
      <c r="Q32" s="33">
        <f>Model_Base!Q32</f>
        <v/>
      </c>
      <c r="R32" s="33">
        <f>Model_Base!R32</f>
        <v/>
      </c>
      <c r="S32" s="33">
        <f>Model_Base!S32</f>
        <v/>
      </c>
      <c r="T32" s="33">
        <f>Model_Base!T32</f>
        <v/>
      </c>
      <c r="U32" s="33">
        <f>Model_Base!U32</f>
        <v/>
      </c>
      <c r="V32" s="33">
        <f>Model_Base!V32</f>
        <v/>
      </c>
      <c r="W32" s="33">
        <f>Model_Base!W32</f>
        <v/>
      </c>
      <c r="X32" s="33">
        <f>Model_Base!X32</f>
        <v/>
      </c>
      <c r="Y32" s="33">
        <f>Model_Base!Y32</f>
        <v/>
      </c>
      <c r="Z32" s="33">
        <f>Model_Base!Z32</f>
        <v/>
      </c>
      <c r="AA32" s="33">
        <f>Model_Base!AA32</f>
        <v/>
      </c>
      <c r="AB32" s="33">
        <f>Model_Base!AB32</f>
        <v/>
      </c>
      <c r="AC32" s="33">
        <f>Model_Base!AC32</f>
        <v/>
      </c>
      <c r="AD32" s="33">
        <f>Model_Base!AD32</f>
        <v/>
      </c>
      <c r="AE32" s="33">
        <f>Model_Base!AE32</f>
        <v/>
      </c>
      <c r="AF32" s="33">
        <f>Model_Base!AF32</f>
        <v/>
      </c>
      <c r="AG32" s="34">
        <f>Model_Base!AG32</f>
        <v/>
      </c>
      <c r="AH32" s="34">
        <f>Model_Base!AH32</f>
        <v/>
      </c>
      <c r="AI32" s="34">
        <f>Model_Base!AI32</f>
        <v/>
      </c>
      <c r="AJ32" s="34">
        <f>Model_Base!AJ32</f>
        <v/>
      </c>
      <c r="AK32" s="34">
        <f>Model_Base!AK32</f>
        <v/>
      </c>
      <c r="AL32" s="34">
        <f>Model_Base!AL32</f>
        <v/>
      </c>
    </row>
    <row r="33">
      <c r="A33" s="22" t="inlineStr">
        <is>
          <t>European Commission fines</t>
        </is>
      </c>
      <c r="C33" s="33">
        <f>Model_Base!C33</f>
        <v/>
      </c>
      <c r="D33" s="33">
        <f>Model_Base!D33</f>
        <v/>
      </c>
      <c r="E33" s="33">
        <f>Model_Base!E33</f>
        <v/>
      </c>
      <c r="F33" s="33">
        <f>Model_Base!F33</f>
        <v/>
      </c>
      <c r="G33" s="33">
        <f>Model_Base!G33</f>
        <v/>
      </c>
      <c r="H33" s="33">
        <f>Model_Base!H33</f>
        <v/>
      </c>
      <c r="I33" s="33">
        <f>Model_Base!I33</f>
        <v/>
      </c>
      <c r="J33" s="33">
        <f>Model_Base!J33</f>
        <v/>
      </c>
      <c r="K33" s="33">
        <f>Model_Base!K33</f>
        <v/>
      </c>
      <c r="L33" s="33">
        <f>Model_Base!L33</f>
        <v/>
      </c>
      <c r="M33" s="33">
        <f>Model_Base!M33</f>
        <v/>
      </c>
      <c r="N33" s="33">
        <f>Model_Base!N33</f>
        <v/>
      </c>
      <c r="O33" s="33">
        <f>Model_Base!O33</f>
        <v/>
      </c>
      <c r="P33" s="33">
        <f>Model_Base!P33</f>
        <v/>
      </c>
      <c r="Q33" s="33">
        <f>Model_Base!Q33</f>
        <v/>
      </c>
      <c r="R33" s="33">
        <f>Model_Base!R33</f>
        <v/>
      </c>
      <c r="S33" s="33">
        <f>Model_Base!S33</f>
        <v/>
      </c>
      <c r="T33" s="33">
        <f>Model_Base!T33</f>
        <v/>
      </c>
      <c r="U33" s="33">
        <f>Model_Base!U33</f>
        <v/>
      </c>
      <c r="V33" s="33">
        <f>Model_Base!V33</f>
        <v/>
      </c>
      <c r="W33" s="33">
        <f>Model_Base!W33</f>
        <v/>
      </c>
      <c r="X33" s="33">
        <f>Model_Base!X33</f>
        <v/>
      </c>
      <c r="Y33" s="33">
        <f>Model_Base!Y33</f>
        <v/>
      </c>
      <c r="Z33" s="33">
        <f>Model_Base!Z33</f>
        <v/>
      </c>
      <c r="AA33" s="33">
        <f>Model_Base!AA33</f>
        <v/>
      </c>
      <c r="AB33" s="33">
        <f>Model_Base!AB33</f>
        <v/>
      </c>
      <c r="AC33" s="33">
        <f>Model_Base!AC33</f>
        <v/>
      </c>
      <c r="AD33" s="33">
        <f>Model_Base!AD33</f>
        <v/>
      </c>
      <c r="AE33" s="33">
        <f>Model_Base!AE33</f>
        <v/>
      </c>
      <c r="AF33" s="33">
        <f>Model_Base!AF33</f>
        <v/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</row>
    <row r="34">
      <c r="A34" s="6" t="inlineStr">
        <is>
          <t>Total operating expenses (R&amp;D + S&amp;M + G&amp;A + fines)</t>
        </is>
      </c>
      <c r="C34" s="31">
        <f>C30+C31+C32+C33</f>
        <v/>
      </c>
      <c r="D34" s="31">
        <f>D30+D31+D32+D33</f>
        <v/>
      </c>
      <c r="E34" s="31">
        <f>E30+E31+E32+E33</f>
        <v/>
      </c>
      <c r="F34" s="31">
        <f>F30+F31+F32+F33</f>
        <v/>
      </c>
      <c r="G34" s="31">
        <f>G30+G31+G32+G33</f>
        <v/>
      </c>
      <c r="H34" s="31">
        <f>H30+H31+H32+H33</f>
        <v/>
      </c>
      <c r="I34" s="31">
        <f>I30+I31+I32+I33</f>
        <v/>
      </c>
      <c r="J34" s="31">
        <f>J30+J31+J32+J33</f>
        <v/>
      </c>
      <c r="K34" s="31">
        <f>K30+K31+K32+K33</f>
        <v/>
      </c>
      <c r="L34" s="31">
        <f>L30+L31+L32+L33</f>
        <v/>
      </c>
      <c r="M34" s="31">
        <f>M30+M31+M32+M33</f>
        <v/>
      </c>
      <c r="N34" s="31">
        <f>N30+N31+N32+N33</f>
        <v/>
      </c>
      <c r="O34" s="31">
        <f>O30+O31+O32+O33</f>
        <v/>
      </c>
      <c r="P34" s="31">
        <f>P30+P31+P32+P33</f>
        <v/>
      </c>
      <c r="Q34" s="31">
        <f>Q30+Q31+Q32+Q33</f>
        <v/>
      </c>
      <c r="R34" s="31">
        <f>R30+R31+R32+R33</f>
        <v/>
      </c>
      <c r="S34" s="31">
        <f>S30+S31+S32+S33</f>
        <v/>
      </c>
      <c r="T34" s="31">
        <f>T30+T31+T32+T33</f>
        <v/>
      </c>
      <c r="U34" s="31">
        <f>U30+U31+U32+U33</f>
        <v/>
      </c>
      <c r="V34" s="31">
        <f>V30+V31+V32+V33</f>
        <v/>
      </c>
      <c r="W34" s="31">
        <f>W30+W31+W32+W33</f>
        <v/>
      </c>
      <c r="X34" s="31">
        <f>X30+X31+X32+X33</f>
        <v/>
      </c>
      <c r="Y34" s="31">
        <f>Y30+Y31+Y32+Y33</f>
        <v/>
      </c>
      <c r="Z34" s="31">
        <f>Z30+Z31+Z32+Z33</f>
        <v/>
      </c>
      <c r="AA34" s="31">
        <f>AA30+AA31+AA32+AA33</f>
        <v/>
      </c>
      <c r="AB34" s="31">
        <f>AB30+AB31+AB32+AB33</f>
        <v/>
      </c>
      <c r="AC34" s="31">
        <f>AC30+AC31+AC32+AC33</f>
        <v/>
      </c>
      <c r="AD34" s="31">
        <f>AD30+AD31+AD32+AD33</f>
        <v/>
      </c>
      <c r="AE34" s="31">
        <f>AE30+AE31+AE32+AE33</f>
        <v/>
      </c>
      <c r="AF34" s="31">
        <f>AF30+AF31+AF32+AF33</f>
        <v/>
      </c>
      <c r="AG34" s="32">
        <f>AG30+AG31+AG32+AG33</f>
        <v/>
      </c>
      <c r="AH34" s="32">
        <f>AH30+AH31+AH32+AH33</f>
        <v/>
      </c>
      <c r="AI34" s="32">
        <f>AI30+AI31+AI32+AI33</f>
        <v/>
      </c>
      <c r="AJ34" s="32">
        <f>AJ30+AJ31+AJ32+AJ33</f>
        <v/>
      </c>
      <c r="AK34" s="32">
        <f>AK30+AK31+AK32+AK33</f>
        <v/>
      </c>
      <c r="AL34" s="32">
        <f>AL30+AL31+AL32+AL33</f>
        <v/>
      </c>
    </row>
    <row r="35">
      <c r="A35" s="6" t="inlineStr">
        <is>
          <t>Operating income</t>
        </is>
      </c>
      <c r="C35" s="25">
        <f>C28-C34</f>
        <v/>
      </c>
      <c r="D35" s="25">
        <f>D28-D34</f>
        <v/>
      </c>
      <c r="E35" s="25">
        <f>E28-E34</f>
        <v/>
      </c>
      <c r="F35" s="25">
        <f>F28-F34</f>
        <v/>
      </c>
      <c r="G35" s="25">
        <f>G28-G34</f>
        <v/>
      </c>
      <c r="H35" s="25">
        <f>H28-H34</f>
        <v/>
      </c>
      <c r="I35" s="25">
        <f>I28-I34</f>
        <v/>
      </c>
      <c r="J35" s="25">
        <f>J28-J34</f>
        <v/>
      </c>
      <c r="K35" s="25">
        <f>K28-K34</f>
        <v/>
      </c>
      <c r="L35" s="25">
        <f>L28-L34</f>
        <v/>
      </c>
      <c r="M35" s="25">
        <f>M28-M34</f>
        <v/>
      </c>
      <c r="N35" s="25">
        <f>N28-N34</f>
        <v/>
      </c>
      <c r="O35" s="25">
        <f>O28-O34</f>
        <v/>
      </c>
      <c r="P35" s="25">
        <f>P28-P34</f>
        <v/>
      </c>
      <c r="Q35" s="25">
        <f>Q28-Q34</f>
        <v/>
      </c>
      <c r="R35" s="25">
        <f>R28-R34</f>
        <v/>
      </c>
      <c r="S35" s="25">
        <f>S28-S34</f>
        <v/>
      </c>
      <c r="T35" s="25">
        <f>T28-T34</f>
        <v/>
      </c>
      <c r="U35" s="25">
        <f>U28-U34</f>
        <v/>
      </c>
      <c r="V35" s="25">
        <f>V28-V34</f>
        <v/>
      </c>
      <c r="W35" s="25">
        <f>W28-W34</f>
        <v/>
      </c>
      <c r="X35" s="25">
        <f>X28-X34</f>
        <v/>
      </c>
      <c r="Y35" s="25">
        <f>Y28-Y34</f>
        <v/>
      </c>
      <c r="Z35" s="25">
        <f>Z28-Z34</f>
        <v/>
      </c>
      <c r="AA35" s="25">
        <f>AA28-AA34</f>
        <v/>
      </c>
      <c r="AB35" s="25">
        <f>AB28-AB34</f>
        <v/>
      </c>
      <c r="AC35" s="25">
        <f>AC28-AC34</f>
        <v/>
      </c>
      <c r="AD35" s="25">
        <f>AD28-AD34</f>
        <v/>
      </c>
      <c r="AE35" s="25">
        <f>AE28-AE34</f>
        <v/>
      </c>
      <c r="AF35" s="25">
        <f>AF28-AF34</f>
        <v/>
      </c>
      <c r="AG35" s="26">
        <f>AG28-AG34</f>
        <v/>
      </c>
      <c r="AH35" s="26">
        <f>AH28-AH34</f>
        <v/>
      </c>
      <c r="AI35" s="26">
        <f>AI28-AI34</f>
        <v/>
      </c>
      <c r="AJ35" s="26">
        <f>AJ28-AJ34</f>
        <v/>
      </c>
      <c r="AK35" s="26">
        <f>AK28-AK34</f>
        <v/>
      </c>
      <c r="AL35" s="26">
        <f>AL28-AL34</f>
        <v/>
      </c>
    </row>
    <row r="36">
      <c r="A36" s="4" t="inlineStr">
        <is>
          <t xml:space="preserve">  Operating margin</t>
        </is>
      </c>
      <c r="C36" s="27">
        <f>C35/C15</f>
        <v/>
      </c>
      <c r="D36" s="27">
        <f>D35/D15</f>
        <v/>
      </c>
      <c r="E36" s="27">
        <f>E35/E15</f>
        <v/>
      </c>
      <c r="F36" s="27">
        <f>F35/F15</f>
        <v/>
      </c>
      <c r="G36" s="27">
        <f>G35/G15</f>
        <v/>
      </c>
      <c r="H36" s="27">
        <f>H35/H15</f>
        <v/>
      </c>
      <c r="I36" s="27">
        <f>I35/I15</f>
        <v/>
      </c>
      <c r="J36" s="27">
        <f>J35/J15</f>
        <v/>
      </c>
      <c r="K36" s="27">
        <f>K35/K15</f>
        <v/>
      </c>
      <c r="L36" s="27">
        <f>L35/L15</f>
        <v/>
      </c>
      <c r="M36" s="27">
        <f>M35/M15</f>
        <v/>
      </c>
      <c r="N36" s="27">
        <f>N35/N15</f>
        <v/>
      </c>
      <c r="O36" s="27">
        <f>O35/O15</f>
        <v/>
      </c>
      <c r="P36" s="27">
        <f>P35/P15</f>
        <v/>
      </c>
      <c r="Q36" s="27">
        <f>Q35/Q15</f>
        <v/>
      </c>
      <c r="R36" s="27">
        <f>R35/R15</f>
        <v/>
      </c>
      <c r="S36" s="27">
        <f>S35/S15</f>
        <v/>
      </c>
      <c r="T36" s="27">
        <f>T35/T15</f>
        <v/>
      </c>
      <c r="U36" s="27">
        <f>U35/U15</f>
        <v/>
      </c>
      <c r="V36" s="27">
        <f>V35/V15</f>
        <v/>
      </c>
      <c r="W36" s="27">
        <f>W35/W15</f>
        <v/>
      </c>
      <c r="X36" s="27">
        <f>X35/X15</f>
        <v/>
      </c>
      <c r="Y36" s="27">
        <f>Y35/Y15</f>
        <v/>
      </c>
      <c r="Z36" s="27">
        <f>Z35/Z15</f>
        <v/>
      </c>
      <c r="AA36" s="27">
        <f>AA35/AA15</f>
        <v/>
      </c>
      <c r="AB36" s="27">
        <f>AB35/AB15</f>
        <v/>
      </c>
      <c r="AC36" s="27">
        <f>AC35/AC15</f>
        <v/>
      </c>
      <c r="AD36" s="27">
        <f>AD35/AD15</f>
        <v/>
      </c>
      <c r="AE36" s="27">
        <f>AE35/AE15</f>
        <v/>
      </c>
      <c r="AF36" s="27">
        <f>AF35/AF15</f>
        <v/>
      </c>
      <c r="AG36" s="28">
        <f>AG35/AG15</f>
        <v/>
      </c>
      <c r="AH36" s="28">
        <f>AH35/AH15</f>
        <v/>
      </c>
      <c r="AI36" s="28">
        <f>AI35/AI15</f>
        <v/>
      </c>
      <c r="AJ36" s="28">
        <f>AJ35/AJ15</f>
        <v/>
      </c>
      <c r="AK36" s="28">
        <f>AK35/AK15</f>
        <v/>
      </c>
      <c r="AL36" s="28">
        <f>AL35/AL15</f>
        <v/>
      </c>
    </row>
    <row r="38">
      <c r="A38" s="6" t="inlineStr">
        <is>
          <t>COST RATIOS (% of revenue; forecast = trailing 4-quarter average)</t>
        </is>
      </c>
    </row>
    <row r="39">
      <c r="A39" s="22" t="inlineStr">
        <is>
          <t>Cost of revenues</t>
        </is>
      </c>
      <c r="C39" s="27">
        <f>C27/C15</f>
        <v/>
      </c>
      <c r="D39" s="27">
        <f>D27/D15</f>
        <v/>
      </c>
      <c r="E39" s="27">
        <f>E27/E15</f>
        <v/>
      </c>
      <c r="F39" s="27">
        <f>F27/F15</f>
        <v/>
      </c>
      <c r="G39" s="27">
        <f>G27/G15</f>
        <v/>
      </c>
      <c r="H39" s="27">
        <f>H27/H15</f>
        <v/>
      </c>
      <c r="I39" s="27">
        <f>I27/I15</f>
        <v/>
      </c>
      <c r="J39" s="27">
        <f>J27/J15</f>
        <v/>
      </c>
      <c r="K39" s="27">
        <f>K27/K15</f>
        <v/>
      </c>
      <c r="L39" s="27">
        <f>L27/L15</f>
        <v/>
      </c>
      <c r="M39" s="27">
        <f>M27/M15</f>
        <v/>
      </c>
      <c r="N39" s="27">
        <f>N27/N15</f>
        <v/>
      </c>
      <c r="O39" s="27">
        <f>O27/O15</f>
        <v/>
      </c>
      <c r="P39" s="27">
        <f>P27/P15</f>
        <v/>
      </c>
      <c r="Q39" s="27">
        <f>Q27/Q15</f>
        <v/>
      </c>
      <c r="R39" s="27">
        <f>R27/R15</f>
        <v/>
      </c>
      <c r="S39" s="27">
        <f>S27/S15</f>
        <v/>
      </c>
      <c r="T39" s="27">
        <f>T27/T15</f>
        <v/>
      </c>
      <c r="U39" s="27">
        <f>U27/U15</f>
        <v/>
      </c>
      <c r="V39" s="27">
        <f>V27/V15</f>
        <v/>
      </c>
      <c r="W39" s="27">
        <f>W27/W15</f>
        <v/>
      </c>
      <c r="X39" s="27">
        <f>X27/X15</f>
        <v/>
      </c>
      <c r="Y39" s="27">
        <f>Y27/Y15</f>
        <v/>
      </c>
      <c r="Z39" s="27">
        <f>Z27/Z15</f>
        <v/>
      </c>
      <c r="AA39" s="27">
        <f>AA27/AA15</f>
        <v/>
      </c>
      <c r="AB39" s="27">
        <f>AB27/AB15</f>
        <v/>
      </c>
      <c r="AC39" s="27">
        <f>AC27/AC15</f>
        <v/>
      </c>
      <c r="AD39" s="27">
        <f>AD27/AD15</f>
        <v/>
      </c>
      <c r="AE39" s="27">
        <f>AE27/AE15</f>
        <v/>
      </c>
      <c r="AF39" s="27">
        <f>AF27/AF15</f>
        <v/>
      </c>
      <c r="AG39" s="28">
        <f>AVERAGE(AC39:AF39)</f>
        <v/>
      </c>
      <c r="AH39" s="28">
        <f>AVERAGE(AD39:AG39)</f>
        <v/>
      </c>
      <c r="AI39" s="28">
        <f>AVERAGE(AE39:AH39)</f>
        <v/>
      </c>
      <c r="AJ39" s="28">
        <f>AVERAGE(AF39:AI39)</f>
        <v/>
      </c>
      <c r="AK39" s="28">
        <f>AVERAGE(AG39:AJ39)</f>
        <v/>
      </c>
      <c r="AL39" s="28">
        <f>AVERAGE(AH39:AK39)</f>
        <v/>
      </c>
    </row>
    <row r="40">
      <c r="A40" s="22" t="inlineStr">
        <is>
          <t>R&amp;D</t>
        </is>
      </c>
      <c r="C40" s="27">
        <f>C30/C15</f>
        <v/>
      </c>
      <c r="D40" s="27">
        <f>D30/D15</f>
        <v/>
      </c>
      <c r="E40" s="27">
        <f>E30/E15</f>
        <v/>
      </c>
      <c r="F40" s="27">
        <f>F30/F15</f>
        <v/>
      </c>
      <c r="G40" s="27">
        <f>G30/G15</f>
        <v/>
      </c>
      <c r="H40" s="27">
        <f>H30/H15</f>
        <v/>
      </c>
      <c r="I40" s="27">
        <f>I30/I15</f>
        <v/>
      </c>
      <c r="J40" s="27">
        <f>J30/J15</f>
        <v/>
      </c>
      <c r="K40" s="27">
        <f>K30/K15</f>
        <v/>
      </c>
      <c r="L40" s="27">
        <f>L30/L15</f>
        <v/>
      </c>
      <c r="M40" s="27">
        <f>M30/M15</f>
        <v/>
      </c>
      <c r="N40" s="27">
        <f>N30/N15</f>
        <v/>
      </c>
      <c r="O40" s="27">
        <f>O30/O15</f>
        <v/>
      </c>
      <c r="P40" s="27">
        <f>P30/P15</f>
        <v/>
      </c>
      <c r="Q40" s="27">
        <f>Q30/Q15</f>
        <v/>
      </c>
      <c r="R40" s="27">
        <f>R30/R15</f>
        <v/>
      </c>
      <c r="S40" s="27">
        <f>S30/S15</f>
        <v/>
      </c>
      <c r="T40" s="27">
        <f>T30/T15</f>
        <v/>
      </c>
      <c r="U40" s="27">
        <f>U30/U15</f>
        <v/>
      </c>
      <c r="V40" s="27">
        <f>V30/V15</f>
        <v/>
      </c>
      <c r="W40" s="27">
        <f>W30/W15</f>
        <v/>
      </c>
      <c r="X40" s="27">
        <f>X30/X15</f>
        <v/>
      </c>
      <c r="Y40" s="27">
        <f>Y30/Y15</f>
        <v/>
      </c>
      <c r="Z40" s="27">
        <f>Z30/Z15</f>
        <v/>
      </c>
      <c r="AA40" s="27">
        <f>AA30/AA15</f>
        <v/>
      </c>
      <c r="AB40" s="27">
        <f>AB30/AB15</f>
        <v/>
      </c>
      <c r="AC40" s="27">
        <f>AC30/AC15</f>
        <v/>
      </c>
      <c r="AD40" s="27">
        <f>AD30/AD15</f>
        <v/>
      </c>
      <c r="AE40" s="27">
        <f>AE30/AE15</f>
        <v/>
      </c>
      <c r="AF40" s="27">
        <f>AF30/AF15</f>
        <v/>
      </c>
      <c r="AG40" s="28">
        <f>AVERAGE(AC40:AF40)</f>
        <v/>
      </c>
      <c r="AH40" s="28">
        <f>AVERAGE(AD40:AG40)</f>
        <v/>
      </c>
      <c r="AI40" s="28">
        <f>AVERAGE(AE40:AH40)</f>
        <v/>
      </c>
      <c r="AJ40" s="28">
        <f>AVERAGE(AF40:AI40)</f>
        <v/>
      </c>
      <c r="AK40" s="28">
        <f>AVERAGE(AG40:AJ40)</f>
        <v/>
      </c>
      <c r="AL40" s="28">
        <f>AVERAGE(AH40:AK40)</f>
        <v/>
      </c>
    </row>
    <row r="41">
      <c r="A41" s="22" t="inlineStr">
        <is>
          <t>Sales &amp; marketing</t>
        </is>
      </c>
      <c r="C41" s="27">
        <f>C31/C15</f>
        <v/>
      </c>
      <c r="D41" s="27">
        <f>D31/D15</f>
        <v/>
      </c>
      <c r="E41" s="27">
        <f>E31/E15</f>
        <v/>
      </c>
      <c r="F41" s="27">
        <f>F31/F15</f>
        <v/>
      </c>
      <c r="G41" s="27">
        <f>G31/G15</f>
        <v/>
      </c>
      <c r="H41" s="27">
        <f>H31/H15</f>
        <v/>
      </c>
      <c r="I41" s="27">
        <f>I31/I15</f>
        <v/>
      </c>
      <c r="J41" s="27">
        <f>J31/J15</f>
        <v/>
      </c>
      <c r="K41" s="27">
        <f>K31/K15</f>
        <v/>
      </c>
      <c r="L41" s="27">
        <f>L31/L15</f>
        <v/>
      </c>
      <c r="M41" s="27">
        <f>M31/M15</f>
        <v/>
      </c>
      <c r="N41" s="27">
        <f>N31/N15</f>
        <v/>
      </c>
      <c r="O41" s="27">
        <f>O31/O15</f>
        <v/>
      </c>
      <c r="P41" s="27">
        <f>P31/P15</f>
        <v/>
      </c>
      <c r="Q41" s="27">
        <f>Q31/Q15</f>
        <v/>
      </c>
      <c r="R41" s="27">
        <f>R31/R15</f>
        <v/>
      </c>
      <c r="S41" s="27">
        <f>S31/S15</f>
        <v/>
      </c>
      <c r="T41" s="27">
        <f>T31/T15</f>
        <v/>
      </c>
      <c r="U41" s="27">
        <f>U31/U15</f>
        <v/>
      </c>
      <c r="V41" s="27">
        <f>V31/V15</f>
        <v/>
      </c>
      <c r="W41" s="27">
        <f>W31/W15</f>
        <v/>
      </c>
      <c r="X41" s="27">
        <f>X31/X15</f>
        <v/>
      </c>
      <c r="Y41" s="27">
        <f>Y31/Y15</f>
        <v/>
      </c>
      <c r="Z41" s="27">
        <f>Z31/Z15</f>
        <v/>
      </c>
      <c r="AA41" s="27">
        <f>AA31/AA15</f>
        <v/>
      </c>
      <c r="AB41" s="27">
        <f>AB31/AB15</f>
        <v/>
      </c>
      <c r="AC41" s="27">
        <f>AC31/AC15</f>
        <v/>
      </c>
      <c r="AD41" s="27">
        <f>AD31/AD15</f>
        <v/>
      </c>
      <c r="AE41" s="27">
        <f>AE31/AE15</f>
        <v/>
      </c>
      <c r="AF41" s="27">
        <f>AF31/AF15</f>
        <v/>
      </c>
      <c r="AG41" s="28">
        <f>AVERAGE(AC41:AF41)</f>
        <v/>
      </c>
      <c r="AH41" s="28">
        <f>AVERAGE(AD41:AG41)</f>
        <v/>
      </c>
      <c r="AI41" s="28">
        <f>AVERAGE(AE41:AH41)</f>
        <v/>
      </c>
      <c r="AJ41" s="28">
        <f>AVERAGE(AF41:AI41)</f>
        <v/>
      </c>
      <c r="AK41" s="28">
        <f>AVERAGE(AG41:AJ41)</f>
        <v/>
      </c>
      <c r="AL41" s="28">
        <f>AVERAGE(AH41:AK41)</f>
        <v/>
      </c>
    </row>
    <row r="42">
      <c r="A42" s="22" t="inlineStr">
        <is>
          <t>G&amp;A</t>
        </is>
      </c>
      <c r="C42" s="27">
        <f>C32/C15</f>
        <v/>
      </c>
      <c r="D42" s="27">
        <f>D32/D15</f>
        <v/>
      </c>
      <c r="E42" s="27">
        <f>E32/E15</f>
        <v/>
      </c>
      <c r="F42" s="27">
        <f>F32/F15</f>
        <v/>
      </c>
      <c r="G42" s="27">
        <f>G32/G15</f>
        <v/>
      </c>
      <c r="H42" s="27">
        <f>H32/H15</f>
        <v/>
      </c>
      <c r="I42" s="27">
        <f>I32/I15</f>
        <v/>
      </c>
      <c r="J42" s="27">
        <f>J32/J15</f>
        <v/>
      </c>
      <c r="K42" s="27">
        <f>K32/K15</f>
        <v/>
      </c>
      <c r="L42" s="27">
        <f>L32/L15</f>
        <v/>
      </c>
      <c r="M42" s="27">
        <f>M32/M15</f>
        <v/>
      </c>
      <c r="N42" s="27">
        <f>N32/N15</f>
        <v/>
      </c>
      <c r="O42" s="27">
        <f>O32/O15</f>
        <v/>
      </c>
      <c r="P42" s="27">
        <f>P32/P15</f>
        <v/>
      </c>
      <c r="Q42" s="27">
        <f>Q32/Q15</f>
        <v/>
      </c>
      <c r="R42" s="27">
        <f>R32/R15</f>
        <v/>
      </c>
      <c r="S42" s="27">
        <f>S32/S15</f>
        <v/>
      </c>
      <c r="T42" s="27">
        <f>T32/T15</f>
        <v/>
      </c>
      <c r="U42" s="27">
        <f>U32/U15</f>
        <v/>
      </c>
      <c r="V42" s="27">
        <f>V32/V15</f>
        <v/>
      </c>
      <c r="W42" s="27">
        <f>W32/W15</f>
        <v/>
      </c>
      <c r="X42" s="27">
        <f>X32/X15</f>
        <v/>
      </c>
      <c r="Y42" s="27">
        <f>Y32/Y15</f>
        <v/>
      </c>
      <c r="Z42" s="27">
        <f>Z32/Z15</f>
        <v/>
      </c>
      <c r="AA42" s="27">
        <f>AA32/AA15</f>
        <v/>
      </c>
      <c r="AB42" s="27">
        <f>AB32/AB15</f>
        <v/>
      </c>
      <c r="AC42" s="27">
        <f>AC32/AC15</f>
        <v/>
      </c>
      <c r="AD42" s="27">
        <f>AD32/AD15</f>
        <v/>
      </c>
      <c r="AE42" s="27">
        <f>AE32/AE15</f>
        <v/>
      </c>
      <c r="AF42" s="27">
        <f>AF32/AF15</f>
        <v/>
      </c>
      <c r="AG42" s="28">
        <f>AVERAGE(AC42:AF42)</f>
        <v/>
      </c>
      <c r="AH42" s="28">
        <f>AVERAGE(AD42:AG42)</f>
        <v/>
      </c>
      <c r="AI42" s="28">
        <f>AVERAGE(AE42:AH42)</f>
        <v/>
      </c>
      <c r="AJ42" s="28">
        <f>AVERAGE(AF42:AI42)</f>
        <v/>
      </c>
      <c r="AK42" s="28">
        <f>AVERAGE(AG42:AJ42)</f>
        <v/>
      </c>
      <c r="AL42" s="28">
        <f>AVERAGE(AH42:AK42)</f>
        <v/>
      </c>
    </row>
    <row r="44">
      <c r="A44" s="6" t="inlineStr">
        <is>
          <t>GROWTH ASSUMPTIONS = latest actual YoY x fade^k + scenario delta</t>
        </is>
      </c>
    </row>
    <row r="45">
      <c r="A45" s="22" t="inlineStr">
        <is>
          <t>Search &amp; other</t>
        </is>
      </c>
      <c r="AG45" s="28">
        <f>$AF18*Assumptions!$C$4^AG$6+Assumptions!$E$9</f>
        <v/>
      </c>
      <c r="AH45" s="28">
        <f>$AF18*Assumptions!$C$4^AH$6+Assumptions!$E$9</f>
        <v/>
      </c>
      <c r="AI45" s="28">
        <f>$AF18*Assumptions!$C$4^AI$6+Assumptions!$E$9</f>
        <v/>
      </c>
      <c r="AJ45" s="28">
        <f>$AF18*Assumptions!$C$4^AJ$6+Assumptions!$E$9</f>
        <v/>
      </c>
      <c r="AK45" s="28">
        <f>$AF18*Assumptions!$C$4^AK$6+Assumptions!$E$9</f>
        <v/>
      </c>
      <c r="AL45" s="28">
        <f>$AF18*Assumptions!$C$4^AL$6+Assumptions!$E$9</f>
        <v/>
      </c>
    </row>
    <row r="46">
      <c r="A46" s="22" t="inlineStr">
        <is>
          <t>YouTube ads</t>
        </is>
      </c>
      <c r="AG46" s="28">
        <f>$AF19*Assumptions!$C$4^AG$6+Assumptions!$E$10</f>
        <v/>
      </c>
      <c r="AH46" s="28">
        <f>$AF19*Assumptions!$C$4^AH$6+Assumptions!$E$10</f>
        <v/>
      </c>
      <c r="AI46" s="28">
        <f>$AF19*Assumptions!$C$4^AI$6+Assumptions!$E$10</f>
        <v/>
      </c>
      <c r="AJ46" s="28">
        <f>$AF19*Assumptions!$C$4^AJ$6+Assumptions!$E$10</f>
        <v/>
      </c>
      <c r="AK46" s="28">
        <f>$AF19*Assumptions!$C$4^AK$6+Assumptions!$E$10</f>
        <v/>
      </c>
      <c r="AL46" s="28">
        <f>$AF19*Assumptions!$C$4^AL$6+Assumptions!$E$10</f>
        <v/>
      </c>
    </row>
    <row r="47">
      <c r="A47" s="22" t="inlineStr">
        <is>
          <t>Network</t>
        </is>
      </c>
      <c r="AG47" s="28">
        <f>$AF20*Assumptions!$C$4^AG$6+Assumptions!$E$11</f>
        <v/>
      </c>
      <c r="AH47" s="28">
        <f>$AF20*Assumptions!$C$4^AH$6+Assumptions!$E$11</f>
        <v/>
      </c>
      <c r="AI47" s="28">
        <f>$AF20*Assumptions!$C$4^AI$6+Assumptions!$E$11</f>
        <v/>
      </c>
      <c r="AJ47" s="28">
        <f>$AF20*Assumptions!$C$4^AJ$6+Assumptions!$E$11</f>
        <v/>
      </c>
      <c r="AK47" s="28">
        <f>$AF20*Assumptions!$C$4^AK$6+Assumptions!$E$11</f>
        <v/>
      </c>
      <c r="AL47" s="28">
        <f>$AF20*Assumptions!$C$4^AL$6+Assumptions!$E$11</f>
        <v/>
      </c>
    </row>
    <row r="48">
      <c r="A48" s="22" t="inlineStr">
        <is>
          <t>Subscriptions, platforms &amp; devices</t>
        </is>
      </c>
      <c r="AG48" s="28">
        <f>$AF21*Assumptions!$C$4^AG$6+Assumptions!$E$12</f>
        <v/>
      </c>
      <c r="AH48" s="28">
        <f>$AF21*Assumptions!$C$4^AH$6+Assumptions!$E$12</f>
        <v/>
      </c>
      <c r="AI48" s="28">
        <f>$AF21*Assumptions!$C$4^AI$6+Assumptions!$E$12</f>
        <v/>
      </c>
      <c r="AJ48" s="28">
        <f>$AF21*Assumptions!$C$4^AJ$6+Assumptions!$E$12</f>
        <v/>
      </c>
      <c r="AK48" s="28">
        <f>$AF21*Assumptions!$C$4^AK$6+Assumptions!$E$12</f>
        <v/>
      </c>
      <c r="AL48" s="28">
        <f>$AF21*Assumptions!$C$4^AL$6+Assumptions!$E$12</f>
        <v/>
      </c>
    </row>
    <row r="49">
      <c r="A49" s="22" t="inlineStr">
        <is>
          <t>Google Cloud</t>
        </is>
      </c>
      <c r="AG49" s="28">
        <f>$AF22*Assumptions!$C$4^AG$6+Assumptions!$E$13</f>
        <v/>
      </c>
      <c r="AH49" s="28">
        <f>$AF22*Assumptions!$C$4^AH$6+Assumptions!$E$13</f>
        <v/>
      </c>
      <c r="AI49" s="28">
        <f>$AF22*Assumptions!$C$4^AI$6+Assumptions!$E$13</f>
        <v/>
      </c>
      <c r="AJ49" s="28">
        <f>$AF22*Assumptions!$C$4^AJ$6+Assumptions!$E$13</f>
        <v/>
      </c>
      <c r="AK49" s="28">
        <f>$AF22*Assumptions!$C$4^AK$6+Assumptions!$E$13</f>
        <v/>
      </c>
      <c r="AL49" s="28">
        <f>$AF22*Assumptions!$C$4^AL$6+Assumptions!$E$13</f>
        <v/>
      </c>
    </row>
    <row r="50">
      <c r="A50" s="22" t="inlineStr">
        <is>
          <t>Other Bets</t>
        </is>
      </c>
      <c r="AG50" s="28">
        <f>$AF23*Assumptions!$C$4^AG$6+Assumptions!$E$14</f>
        <v/>
      </c>
      <c r="AH50" s="28">
        <f>$AF23*Assumptions!$C$4^AH$6+Assumptions!$E$14</f>
        <v/>
      </c>
      <c r="AI50" s="28">
        <f>$AF23*Assumptions!$C$4^AI$6+Assumptions!$E$14</f>
        <v/>
      </c>
      <c r="AJ50" s="28">
        <f>$AF23*Assumptions!$C$4^AJ$6+Assumptions!$E$14</f>
        <v/>
      </c>
      <c r="AK50" s="28">
        <f>$AF23*Assumptions!$C$4^AK$6+Assumptions!$E$14</f>
        <v/>
      </c>
      <c r="AL50" s="28">
        <f>$AF23*Assumptions!$C$4^AL$6+Assumptions!$E$14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>
      <c r="A1" s="1" t="inlineStr">
        <is>
          <t>Alphabet Inc. - quarterly P&amp;L model (Bear case)  |  $ millions</t>
        </is>
      </c>
    </row>
    <row r="2">
      <c r="A2" s="2" t="inlineStr">
        <is>
          <t>Blue = hard-coded SEC history. Black = formula. Yellow-shaded columns = forecast. Source: SEC EDGAR XBRL (companyfacts + 10-Q/10-K instance documents).</t>
        </is>
      </c>
    </row>
    <row r="3">
      <c r="A3" s="12" t="inlineStr">
        <is>
          <t>Quarter</t>
        </is>
      </c>
      <c r="B3" s="13" t="n"/>
      <c r="C3" s="16" t="inlineStr">
        <is>
          <t>Q1'19</t>
        </is>
      </c>
      <c r="D3" s="16" t="inlineStr">
        <is>
          <t>Q2'19</t>
        </is>
      </c>
      <c r="E3" s="16" t="inlineStr">
        <is>
          <t>Q3'19</t>
        </is>
      </c>
      <c r="F3" s="16" t="inlineStr">
        <is>
          <t>Q4'19</t>
        </is>
      </c>
      <c r="G3" s="16" t="inlineStr">
        <is>
          <t>Q1'20</t>
        </is>
      </c>
      <c r="H3" s="16" t="inlineStr">
        <is>
          <t>Q2'20</t>
        </is>
      </c>
      <c r="I3" s="16" t="inlineStr">
        <is>
          <t>Q3'20</t>
        </is>
      </c>
      <c r="J3" s="16" t="inlineStr">
        <is>
          <t>Q4'20</t>
        </is>
      </c>
      <c r="K3" s="16" t="inlineStr">
        <is>
          <t>Q1'21</t>
        </is>
      </c>
      <c r="L3" s="16" t="inlineStr">
        <is>
          <t>Q2'21</t>
        </is>
      </c>
      <c r="M3" s="16" t="inlineStr">
        <is>
          <t>Q3'21</t>
        </is>
      </c>
      <c r="N3" s="16" t="inlineStr">
        <is>
          <t>Q4'21</t>
        </is>
      </c>
      <c r="O3" s="16" t="inlineStr">
        <is>
          <t>Q1'22</t>
        </is>
      </c>
      <c r="P3" s="16" t="inlineStr">
        <is>
          <t>Q2'22</t>
        </is>
      </c>
      <c r="Q3" s="16" t="inlineStr">
        <is>
          <t>Q3'22</t>
        </is>
      </c>
      <c r="R3" s="16" t="inlineStr">
        <is>
          <t>Q4'22</t>
        </is>
      </c>
      <c r="S3" s="16" t="inlineStr">
        <is>
          <t>Q1'23</t>
        </is>
      </c>
      <c r="T3" s="16" t="inlineStr">
        <is>
          <t>Q2'23</t>
        </is>
      </c>
      <c r="U3" s="16" t="inlineStr">
        <is>
          <t>Q3'23</t>
        </is>
      </c>
      <c r="V3" s="16" t="inlineStr">
        <is>
          <t>Q4'23</t>
        </is>
      </c>
      <c r="W3" s="16" t="inlineStr">
        <is>
          <t>Q1'24</t>
        </is>
      </c>
      <c r="X3" s="16" t="inlineStr">
        <is>
          <t>Q2'24</t>
        </is>
      </c>
      <c r="Y3" s="16" t="inlineStr">
        <is>
          <t>Q3'24</t>
        </is>
      </c>
      <c r="Z3" s="16" t="inlineStr">
        <is>
          <t>Q4'24</t>
        </is>
      </c>
      <c r="AA3" s="16" t="inlineStr">
        <is>
          <t>Q1'25</t>
        </is>
      </c>
      <c r="AB3" s="16" t="inlineStr">
        <is>
          <t>Q2'25</t>
        </is>
      </c>
      <c r="AC3" s="16" t="inlineStr">
        <is>
          <t>Q3'25</t>
        </is>
      </c>
      <c r="AD3" s="16" t="inlineStr">
        <is>
          <t>Q4'25</t>
        </is>
      </c>
      <c r="AE3" s="16" t="inlineStr">
        <is>
          <t>Q1'26</t>
        </is>
      </c>
      <c r="AF3" s="16" t="inlineStr">
        <is>
          <t>Q2'26</t>
        </is>
      </c>
      <c r="AG3" s="16" t="inlineStr">
        <is>
          <t>Q3'26</t>
        </is>
      </c>
      <c r="AH3" s="16" t="inlineStr">
        <is>
          <t>Q4'26</t>
        </is>
      </c>
      <c r="AI3" s="16" t="inlineStr">
        <is>
          <t>Q1'27</t>
        </is>
      </c>
      <c r="AJ3" s="16" t="inlineStr">
        <is>
          <t>Q2'27</t>
        </is>
      </c>
      <c r="AK3" s="16" t="inlineStr">
        <is>
          <t>Q3'27</t>
        </is>
      </c>
      <c r="AL3" s="16" t="inlineStr">
        <is>
          <t>Q4'27</t>
        </is>
      </c>
    </row>
    <row r="4">
      <c r="C4" s="17" t="n">
        <v>43555</v>
      </c>
      <c r="D4" s="17" t="n">
        <v>43646</v>
      </c>
      <c r="E4" s="17" t="n">
        <v>43738</v>
      </c>
      <c r="F4" s="17" t="n">
        <v>43830</v>
      </c>
      <c r="G4" s="17" t="n">
        <v>43921</v>
      </c>
      <c r="H4" s="17" t="n">
        <v>44012</v>
      </c>
      <c r="I4" s="17" t="n">
        <v>44104</v>
      </c>
      <c r="J4" s="17" t="n">
        <v>44196</v>
      </c>
      <c r="K4" s="17" t="n">
        <v>44286</v>
      </c>
      <c r="L4" s="17" t="n">
        <v>44377</v>
      </c>
      <c r="M4" s="17" t="n">
        <v>44469</v>
      </c>
      <c r="N4" s="17" t="n">
        <v>44561</v>
      </c>
      <c r="O4" s="17" t="n">
        <v>44651</v>
      </c>
      <c r="P4" s="17" t="n">
        <v>44742</v>
      </c>
      <c r="Q4" s="17" t="n">
        <v>44834</v>
      </c>
      <c r="R4" s="17" t="n">
        <v>44926</v>
      </c>
      <c r="S4" s="17" t="n">
        <v>45016</v>
      </c>
      <c r="T4" s="17" t="n">
        <v>45107</v>
      </c>
      <c r="U4" s="17" t="n">
        <v>45199</v>
      </c>
      <c r="V4" s="17" t="n">
        <v>45291</v>
      </c>
      <c r="W4" s="17" t="n">
        <v>45382</v>
      </c>
      <c r="X4" s="17" t="n">
        <v>45473</v>
      </c>
      <c r="Y4" s="17" t="n">
        <v>45565</v>
      </c>
      <c r="Z4" s="17" t="n">
        <v>45657</v>
      </c>
      <c r="AA4" s="17" t="n">
        <v>45747</v>
      </c>
      <c r="AB4" s="17" t="n">
        <v>45838</v>
      </c>
      <c r="AC4" s="17" t="n">
        <v>45930</v>
      </c>
      <c r="AD4" s="17" t="n">
        <v>46022</v>
      </c>
      <c r="AE4" s="17" t="n">
        <v>46112</v>
      </c>
      <c r="AF4" s="17" t="n">
        <v>46203</v>
      </c>
      <c r="AG4" s="18" t="n">
        <v>46295</v>
      </c>
      <c r="AH4" s="18" t="n">
        <v>46387</v>
      </c>
      <c r="AI4" s="18" t="n">
        <v>46477</v>
      </c>
      <c r="AJ4" s="18" t="n">
        <v>46568</v>
      </c>
      <c r="AK4" s="18" t="n">
        <v>46660</v>
      </c>
      <c r="AL4" s="18" t="n">
        <v>46752</v>
      </c>
    </row>
    <row r="5">
      <c r="C5" s="19" t="inlineStr">
        <is>
          <t>Actual</t>
        </is>
      </c>
      <c r="D5" s="19" t="inlineStr">
        <is>
          <t>Actual</t>
        </is>
      </c>
      <c r="E5" s="19" t="inlineStr">
        <is>
          <t>Actual</t>
        </is>
      </c>
      <c r="F5" s="19" t="inlineStr">
        <is>
          <t>Actual</t>
        </is>
      </c>
      <c r="G5" s="19" t="inlineStr">
        <is>
          <t>Actual</t>
        </is>
      </c>
      <c r="H5" s="19" t="inlineStr">
        <is>
          <t>Actual</t>
        </is>
      </c>
      <c r="I5" s="19" t="inlineStr">
        <is>
          <t>Actual</t>
        </is>
      </c>
      <c r="J5" s="19" t="inlineStr">
        <is>
          <t>Actual</t>
        </is>
      </c>
      <c r="K5" s="19" t="inlineStr">
        <is>
          <t>Actual</t>
        </is>
      </c>
      <c r="L5" s="19" t="inlineStr">
        <is>
          <t>Actual</t>
        </is>
      </c>
      <c r="M5" s="19" t="inlineStr">
        <is>
          <t>Actual</t>
        </is>
      </c>
      <c r="N5" s="19" t="inlineStr">
        <is>
          <t>Actual</t>
        </is>
      </c>
      <c r="O5" s="19" t="inlineStr">
        <is>
          <t>Actual</t>
        </is>
      </c>
      <c r="P5" s="19" t="inlineStr">
        <is>
          <t>Actual</t>
        </is>
      </c>
      <c r="Q5" s="19" t="inlineStr">
        <is>
          <t>Actual</t>
        </is>
      </c>
      <c r="R5" s="19" t="inlineStr">
        <is>
          <t>Actual</t>
        </is>
      </c>
      <c r="S5" s="19" t="inlineStr">
        <is>
          <t>Actual</t>
        </is>
      </c>
      <c r="T5" s="19" t="inlineStr">
        <is>
          <t>Actual</t>
        </is>
      </c>
      <c r="U5" s="19" t="inlineStr">
        <is>
          <t>Actual</t>
        </is>
      </c>
      <c r="V5" s="19" t="inlineStr">
        <is>
          <t>Actual</t>
        </is>
      </c>
      <c r="W5" s="19" t="inlineStr">
        <is>
          <t>Actual</t>
        </is>
      </c>
      <c r="X5" s="19" t="inlineStr">
        <is>
          <t>Actual</t>
        </is>
      </c>
      <c r="Y5" s="19" t="inlineStr">
        <is>
          <t>Actual</t>
        </is>
      </c>
      <c r="Z5" s="19" t="inlineStr">
        <is>
          <t>Actual</t>
        </is>
      </c>
      <c r="AA5" s="19" t="inlineStr">
        <is>
          <t>Actual</t>
        </is>
      </c>
      <c r="AB5" s="19" t="inlineStr">
        <is>
          <t>Actual</t>
        </is>
      </c>
      <c r="AC5" s="19" t="inlineStr">
        <is>
          <t>Actual</t>
        </is>
      </c>
      <c r="AD5" s="19" t="inlineStr">
        <is>
          <t>Actual</t>
        </is>
      </c>
      <c r="AE5" s="19" t="inlineStr">
        <is>
          <t>Actual</t>
        </is>
      </c>
      <c r="AF5" s="19" t="inlineStr">
        <is>
          <t>Actual</t>
        </is>
      </c>
      <c r="AG5" s="20" t="inlineStr">
        <is>
          <t>Forecast</t>
        </is>
      </c>
      <c r="AH5" s="20" t="inlineStr">
        <is>
          <t>Forecast</t>
        </is>
      </c>
      <c r="AI5" s="20" t="inlineStr">
        <is>
          <t>Forecast</t>
        </is>
      </c>
      <c r="AJ5" s="20" t="inlineStr">
        <is>
          <t>Forecast</t>
        </is>
      </c>
      <c r="AK5" s="20" t="inlineStr">
        <is>
          <t>Forecast</t>
        </is>
      </c>
      <c r="AL5" s="20" t="inlineStr">
        <is>
          <t>Forecast</t>
        </is>
      </c>
    </row>
    <row r="6">
      <c r="A6" s="21" t="inlineStr">
        <is>
          <t>Quarters ahead (k)</t>
        </is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20" t="n">
        <v>1</v>
      </c>
      <c r="AH6" s="20" t="n">
        <v>2</v>
      </c>
      <c r="AI6" s="20" t="n">
        <v>3</v>
      </c>
      <c r="AJ6" s="20" t="n">
        <v>4</v>
      </c>
      <c r="AK6" s="20" t="n">
        <v>5</v>
      </c>
      <c r="AL6" s="20" t="n">
        <v>6</v>
      </c>
    </row>
    <row r="7">
      <c r="A7" s="6" t="inlineStr">
        <is>
          <t>REVENUE</t>
        </is>
      </c>
    </row>
    <row r="8">
      <c r="A8" s="22" t="inlineStr">
        <is>
          <t>Search &amp; other</t>
        </is>
      </c>
      <c r="C8" s="33">
        <f>Model_Base!C8</f>
        <v/>
      </c>
      <c r="D8" s="33">
        <f>Model_Base!D8</f>
        <v/>
      </c>
      <c r="E8" s="33">
        <f>Model_Base!E8</f>
        <v/>
      </c>
      <c r="F8" s="33">
        <f>Model_Base!F8</f>
        <v/>
      </c>
      <c r="G8" s="33">
        <f>Model_Base!G8</f>
        <v/>
      </c>
      <c r="H8" s="33">
        <f>Model_Base!H8</f>
        <v/>
      </c>
      <c r="I8" s="33">
        <f>Model_Base!I8</f>
        <v/>
      </c>
      <c r="J8" s="33">
        <f>Model_Base!J8</f>
        <v/>
      </c>
      <c r="K8" s="33">
        <f>Model_Base!K8</f>
        <v/>
      </c>
      <c r="L8" s="33">
        <f>Model_Base!L8</f>
        <v/>
      </c>
      <c r="M8" s="33">
        <f>Model_Base!M8</f>
        <v/>
      </c>
      <c r="N8" s="33">
        <f>Model_Base!N8</f>
        <v/>
      </c>
      <c r="O8" s="33">
        <f>Model_Base!O8</f>
        <v/>
      </c>
      <c r="P8" s="33">
        <f>Model_Base!P8</f>
        <v/>
      </c>
      <c r="Q8" s="33">
        <f>Model_Base!Q8</f>
        <v/>
      </c>
      <c r="R8" s="33">
        <f>Model_Base!R8</f>
        <v/>
      </c>
      <c r="S8" s="33">
        <f>Model_Base!S8</f>
        <v/>
      </c>
      <c r="T8" s="33">
        <f>Model_Base!T8</f>
        <v/>
      </c>
      <c r="U8" s="33">
        <f>Model_Base!U8</f>
        <v/>
      </c>
      <c r="V8" s="33">
        <f>Model_Base!V8</f>
        <v/>
      </c>
      <c r="W8" s="33">
        <f>Model_Base!W8</f>
        <v/>
      </c>
      <c r="X8" s="33">
        <f>Model_Base!X8</f>
        <v/>
      </c>
      <c r="Y8" s="33">
        <f>Model_Base!Y8</f>
        <v/>
      </c>
      <c r="Z8" s="33">
        <f>Model_Base!Z8</f>
        <v/>
      </c>
      <c r="AA8" s="33">
        <f>Model_Base!AA8</f>
        <v/>
      </c>
      <c r="AB8" s="33">
        <f>Model_Base!AB8</f>
        <v/>
      </c>
      <c r="AC8" s="33">
        <f>Model_Base!AC8</f>
        <v/>
      </c>
      <c r="AD8" s="33">
        <f>Model_Base!AD8</f>
        <v/>
      </c>
      <c r="AE8" s="33">
        <f>Model_Base!AE8</f>
        <v/>
      </c>
      <c r="AF8" s="33">
        <f>Model_Base!AF8</f>
        <v/>
      </c>
      <c r="AG8" s="24">
        <f>AC8*(1+AG45)</f>
        <v/>
      </c>
      <c r="AH8" s="24">
        <f>AD8*(1+AH45)</f>
        <v/>
      </c>
      <c r="AI8" s="24">
        <f>AE8*(1+AI45)</f>
        <v/>
      </c>
      <c r="AJ8" s="24">
        <f>AF8*(1+AJ45)</f>
        <v/>
      </c>
      <c r="AK8" s="24">
        <f>AG8*(1+AK45)</f>
        <v/>
      </c>
      <c r="AL8" s="24">
        <f>AH8*(1+AL45)</f>
        <v/>
      </c>
    </row>
    <row r="9">
      <c r="A9" s="22" t="inlineStr">
        <is>
          <t>YouTube ads</t>
        </is>
      </c>
      <c r="C9" s="33">
        <f>Model_Base!C9</f>
        <v/>
      </c>
      <c r="D9" s="33">
        <f>Model_Base!D9</f>
        <v/>
      </c>
      <c r="E9" s="33">
        <f>Model_Base!E9</f>
        <v/>
      </c>
      <c r="F9" s="33">
        <f>Model_Base!F9</f>
        <v/>
      </c>
      <c r="G9" s="33">
        <f>Model_Base!G9</f>
        <v/>
      </c>
      <c r="H9" s="33">
        <f>Model_Base!H9</f>
        <v/>
      </c>
      <c r="I9" s="33">
        <f>Model_Base!I9</f>
        <v/>
      </c>
      <c r="J9" s="33">
        <f>Model_Base!J9</f>
        <v/>
      </c>
      <c r="K9" s="33">
        <f>Model_Base!K9</f>
        <v/>
      </c>
      <c r="L9" s="33">
        <f>Model_Base!L9</f>
        <v/>
      </c>
      <c r="M9" s="33">
        <f>Model_Base!M9</f>
        <v/>
      </c>
      <c r="N9" s="33">
        <f>Model_Base!N9</f>
        <v/>
      </c>
      <c r="O9" s="33">
        <f>Model_Base!O9</f>
        <v/>
      </c>
      <c r="P9" s="33">
        <f>Model_Base!P9</f>
        <v/>
      </c>
      <c r="Q9" s="33">
        <f>Model_Base!Q9</f>
        <v/>
      </c>
      <c r="R9" s="33">
        <f>Model_Base!R9</f>
        <v/>
      </c>
      <c r="S9" s="33">
        <f>Model_Base!S9</f>
        <v/>
      </c>
      <c r="T9" s="33">
        <f>Model_Base!T9</f>
        <v/>
      </c>
      <c r="U9" s="33">
        <f>Model_Base!U9</f>
        <v/>
      </c>
      <c r="V9" s="33">
        <f>Model_Base!V9</f>
        <v/>
      </c>
      <c r="W9" s="33">
        <f>Model_Base!W9</f>
        <v/>
      </c>
      <c r="X9" s="33">
        <f>Model_Base!X9</f>
        <v/>
      </c>
      <c r="Y9" s="33">
        <f>Model_Base!Y9</f>
        <v/>
      </c>
      <c r="Z9" s="33">
        <f>Model_Base!Z9</f>
        <v/>
      </c>
      <c r="AA9" s="33">
        <f>Model_Base!AA9</f>
        <v/>
      </c>
      <c r="AB9" s="33">
        <f>Model_Base!AB9</f>
        <v/>
      </c>
      <c r="AC9" s="33">
        <f>Model_Base!AC9</f>
        <v/>
      </c>
      <c r="AD9" s="33">
        <f>Model_Base!AD9</f>
        <v/>
      </c>
      <c r="AE9" s="33">
        <f>Model_Base!AE9</f>
        <v/>
      </c>
      <c r="AF9" s="33">
        <f>Model_Base!AF9</f>
        <v/>
      </c>
      <c r="AG9" s="24">
        <f>AC9*(1+AG46)</f>
        <v/>
      </c>
      <c r="AH9" s="24">
        <f>AD9*(1+AH46)</f>
        <v/>
      </c>
      <c r="AI9" s="24">
        <f>AE9*(1+AI46)</f>
        <v/>
      </c>
      <c r="AJ9" s="24">
        <f>AF9*(1+AJ46)</f>
        <v/>
      </c>
      <c r="AK9" s="24">
        <f>AG9*(1+AK46)</f>
        <v/>
      </c>
      <c r="AL9" s="24">
        <f>AH9*(1+AL46)</f>
        <v/>
      </c>
    </row>
    <row r="10">
      <c r="A10" s="22" t="inlineStr">
        <is>
          <t>Network</t>
        </is>
      </c>
      <c r="C10" s="33">
        <f>Model_Base!C10</f>
        <v/>
      </c>
      <c r="D10" s="33">
        <f>Model_Base!D10</f>
        <v/>
      </c>
      <c r="E10" s="33">
        <f>Model_Base!E10</f>
        <v/>
      </c>
      <c r="F10" s="33">
        <f>Model_Base!F10</f>
        <v/>
      </c>
      <c r="G10" s="33">
        <f>Model_Base!G10</f>
        <v/>
      </c>
      <c r="H10" s="33">
        <f>Model_Base!H10</f>
        <v/>
      </c>
      <c r="I10" s="33">
        <f>Model_Base!I10</f>
        <v/>
      </c>
      <c r="J10" s="33">
        <f>Model_Base!J10</f>
        <v/>
      </c>
      <c r="K10" s="33">
        <f>Model_Base!K10</f>
        <v/>
      </c>
      <c r="L10" s="33">
        <f>Model_Base!L10</f>
        <v/>
      </c>
      <c r="M10" s="33">
        <f>Model_Base!M10</f>
        <v/>
      </c>
      <c r="N10" s="33">
        <f>Model_Base!N10</f>
        <v/>
      </c>
      <c r="O10" s="33">
        <f>Model_Base!O10</f>
        <v/>
      </c>
      <c r="P10" s="33">
        <f>Model_Base!P10</f>
        <v/>
      </c>
      <c r="Q10" s="33">
        <f>Model_Base!Q10</f>
        <v/>
      </c>
      <c r="R10" s="33">
        <f>Model_Base!R10</f>
        <v/>
      </c>
      <c r="S10" s="33">
        <f>Model_Base!S10</f>
        <v/>
      </c>
      <c r="T10" s="33">
        <f>Model_Base!T10</f>
        <v/>
      </c>
      <c r="U10" s="33">
        <f>Model_Base!U10</f>
        <v/>
      </c>
      <c r="V10" s="33">
        <f>Model_Base!V10</f>
        <v/>
      </c>
      <c r="W10" s="33">
        <f>Model_Base!W10</f>
        <v/>
      </c>
      <c r="X10" s="33">
        <f>Model_Base!X10</f>
        <v/>
      </c>
      <c r="Y10" s="33">
        <f>Model_Base!Y10</f>
        <v/>
      </c>
      <c r="Z10" s="33">
        <f>Model_Base!Z10</f>
        <v/>
      </c>
      <c r="AA10" s="33">
        <f>Model_Base!AA10</f>
        <v/>
      </c>
      <c r="AB10" s="33">
        <f>Model_Base!AB10</f>
        <v/>
      </c>
      <c r="AC10" s="33">
        <f>Model_Base!AC10</f>
        <v/>
      </c>
      <c r="AD10" s="33">
        <f>Model_Base!AD10</f>
        <v/>
      </c>
      <c r="AE10" s="33">
        <f>Model_Base!AE10</f>
        <v/>
      </c>
      <c r="AF10" s="33">
        <f>Model_Base!AF10</f>
        <v/>
      </c>
      <c r="AG10" s="24">
        <f>AC10*(1+AG47)</f>
        <v/>
      </c>
      <c r="AH10" s="24">
        <f>AD10*(1+AH47)</f>
        <v/>
      </c>
      <c r="AI10" s="24">
        <f>AE10*(1+AI47)</f>
        <v/>
      </c>
      <c r="AJ10" s="24">
        <f>AF10*(1+AJ47)</f>
        <v/>
      </c>
      <c r="AK10" s="24">
        <f>AG10*(1+AK47)</f>
        <v/>
      </c>
      <c r="AL10" s="24">
        <f>AH10*(1+AL47)</f>
        <v/>
      </c>
    </row>
    <row r="11">
      <c r="A11" s="22" t="inlineStr">
        <is>
          <t>Subscriptions, platforms &amp; devices</t>
        </is>
      </c>
      <c r="C11" s="33">
        <f>Model_Base!C11</f>
        <v/>
      </c>
      <c r="D11" s="33">
        <f>Model_Base!D11</f>
        <v/>
      </c>
      <c r="E11" s="33">
        <f>Model_Base!E11</f>
        <v/>
      </c>
      <c r="F11" s="33">
        <f>Model_Base!F11</f>
        <v/>
      </c>
      <c r="G11" s="33">
        <f>Model_Base!G11</f>
        <v/>
      </c>
      <c r="H11" s="33">
        <f>Model_Base!H11</f>
        <v/>
      </c>
      <c r="I11" s="33">
        <f>Model_Base!I11</f>
        <v/>
      </c>
      <c r="J11" s="33">
        <f>Model_Base!J11</f>
        <v/>
      </c>
      <c r="K11" s="33">
        <f>Model_Base!K11</f>
        <v/>
      </c>
      <c r="L11" s="33">
        <f>Model_Base!L11</f>
        <v/>
      </c>
      <c r="M11" s="33">
        <f>Model_Base!M11</f>
        <v/>
      </c>
      <c r="N11" s="33">
        <f>Model_Base!N11</f>
        <v/>
      </c>
      <c r="O11" s="33">
        <f>Model_Base!O11</f>
        <v/>
      </c>
      <c r="P11" s="33">
        <f>Model_Base!P11</f>
        <v/>
      </c>
      <c r="Q11" s="33">
        <f>Model_Base!Q11</f>
        <v/>
      </c>
      <c r="R11" s="33">
        <f>Model_Base!R11</f>
        <v/>
      </c>
      <c r="S11" s="33">
        <f>Model_Base!S11</f>
        <v/>
      </c>
      <c r="T11" s="33">
        <f>Model_Base!T11</f>
        <v/>
      </c>
      <c r="U11" s="33">
        <f>Model_Base!U11</f>
        <v/>
      </c>
      <c r="V11" s="33">
        <f>Model_Base!V11</f>
        <v/>
      </c>
      <c r="W11" s="33">
        <f>Model_Base!W11</f>
        <v/>
      </c>
      <c r="X11" s="33">
        <f>Model_Base!X11</f>
        <v/>
      </c>
      <c r="Y11" s="33">
        <f>Model_Base!Y11</f>
        <v/>
      </c>
      <c r="Z11" s="33">
        <f>Model_Base!Z11</f>
        <v/>
      </c>
      <c r="AA11" s="33">
        <f>Model_Base!AA11</f>
        <v/>
      </c>
      <c r="AB11" s="33">
        <f>Model_Base!AB11</f>
        <v/>
      </c>
      <c r="AC11" s="33">
        <f>Model_Base!AC11</f>
        <v/>
      </c>
      <c r="AD11" s="33">
        <f>Model_Base!AD11</f>
        <v/>
      </c>
      <c r="AE11" s="33">
        <f>Model_Base!AE11</f>
        <v/>
      </c>
      <c r="AF11" s="33">
        <f>Model_Base!AF11</f>
        <v/>
      </c>
      <c r="AG11" s="24">
        <f>AC11*(1+AG48)</f>
        <v/>
      </c>
      <c r="AH11" s="24">
        <f>AD11*(1+AH48)</f>
        <v/>
      </c>
      <c r="AI11" s="24">
        <f>AE11*(1+AI48)</f>
        <v/>
      </c>
      <c r="AJ11" s="24">
        <f>AF11*(1+AJ48)</f>
        <v/>
      </c>
      <c r="AK11" s="24">
        <f>AG11*(1+AK48)</f>
        <v/>
      </c>
      <c r="AL11" s="24">
        <f>AH11*(1+AL48)</f>
        <v/>
      </c>
    </row>
    <row r="12">
      <c r="A12" s="22" t="inlineStr">
        <is>
          <t>Google Cloud</t>
        </is>
      </c>
      <c r="C12" s="33">
        <f>Model_Base!C12</f>
        <v/>
      </c>
      <c r="D12" s="33">
        <f>Model_Base!D12</f>
        <v/>
      </c>
      <c r="E12" s="33">
        <f>Model_Base!E12</f>
        <v/>
      </c>
      <c r="F12" s="33">
        <f>Model_Base!F12</f>
        <v/>
      </c>
      <c r="G12" s="33">
        <f>Model_Base!G12</f>
        <v/>
      </c>
      <c r="H12" s="33">
        <f>Model_Base!H12</f>
        <v/>
      </c>
      <c r="I12" s="33">
        <f>Model_Base!I12</f>
        <v/>
      </c>
      <c r="J12" s="33">
        <f>Model_Base!J12</f>
        <v/>
      </c>
      <c r="K12" s="33">
        <f>Model_Base!K12</f>
        <v/>
      </c>
      <c r="L12" s="33">
        <f>Model_Base!L12</f>
        <v/>
      </c>
      <c r="M12" s="33">
        <f>Model_Base!M12</f>
        <v/>
      </c>
      <c r="N12" s="33">
        <f>Model_Base!N12</f>
        <v/>
      </c>
      <c r="O12" s="33">
        <f>Model_Base!O12</f>
        <v/>
      </c>
      <c r="P12" s="33">
        <f>Model_Base!P12</f>
        <v/>
      </c>
      <c r="Q12" s="33">
        <f>Model_Base!Q12</f>
        <v/>
      </c>
      <c r="R12" s="33">
        <f>Model_Base!R12</f>
        <v/>
      </c>
      <c r="S12" s="33">
        <f>Model_Base!S12</f>
        <v/>
      </c>
      <c r="T12" s="33">
        <f>Model_Base!T12</f>
        <v/>
      </c>
      <c r="U12" s="33">
        <f>Model_Base!U12</f>
        <v/>
      </c>
      <c r="V12" s="33">
        <f>Model_Base!V12</f>
        <v/>
      </c>
      <c r="W12" s="33">
        <f>Model_Base!W12</f>
        <v/>
      </c>
      <c r="X12" s="33">
        <f>Model_Base!X12</f>
        <v/>
      </c>
      <c r="Y12" s="33">
        <f>Model_Base!Y12</f>
        <v/>
      </c>
      <c r="Z12" s="33">
        <f>Model_Base!Z12</f>
        <v/>
      </c>
      <c r="AA12" s="33">
        <f>Model_Base!AA12</f>
        <v/>
      </c>
      <c r="AB12" s="33">
        <f>Model_Base!AB12</f>
        <v/>
      </c>
      <c r="AC12" s="33">
        <f>Model_Base!AC12</f>
        <v/>
      </c>
      <c r="AD12" s="33">
        <f>Model_Base!AD12</f>
        <v/>
      </c>
      <c r="AE12" s="33">
        <f>Model_Base!AE12</f>
        <v/>
      </c>
      <c r="AF12" s="33">
        <f>Model_Base!AF12</f>
        <v/>
      </c>
      <c r="AG12" s="24">
        <f>AC12*(1+AG49)</f>
        <v/>
      </c>
      <c r="AH12" s="24">
        <f>AD12*(1+AH49)</f>
        <v/>
      </c>
      <c r="AI12" s="24">
        <f>AE12*(1+AI49)</f>
        <v/>
      </c>
      <c r="AJ12" s="24">
        <f>AF12*(1+AJ49)</f>
        <v/>
      </c>
      <c r="AK12" s="24">
        <f>AG12*(1+AK49)</f>
        <v/>
      </c>
      <c r="AL12" s="24">
        <f>AH12*(1+AL49)</f>
        <v/>
      </c>
    </row>
    <row r="13">
      <c r="A13" s="22" t="inlineStr">
        <is>
          <t>Other Bets</t>
        </is>
      </c>
      <c r="C13" s="33">
        <f>Model_Base!C13</f>
        <v/>
      </c>
      <c r="D13" s="33">
        <f>Model_Base!D13</f>
        <v/>
      </c>
      <c r="E13" s="33">
        <f>Model_Base!E13</f>
        <v/>
      </c>
      <c r="F13" s="33">
        <f>Model_Base!F13</f>
        <v/>
      </c>
      <c r="G13" s="33">
        <f>Model_Base!G13</f>
        <v/>
      </c>
      <c r="H13" s="33">
        <f>Model_Base!H13</f>
        <v/>
      </c>
      <c r="I13" s="33">
        <f>Model_Base!I13</f>
        <v/>
      </c>
      <c r="J13" s="33">
        <f>Model_Base!J13</f>
        <v/>
      </c>
      <c r="K13" s="33">
        <f>Model_Base!K13</f>
        <v/>
      </c>
      <c r="L13" s="33">
        <f>Model_Base!L13</f>
        <v/>
      </c>
      <c r="M13" s="33">
        <f>Model_Base!M13</f>
        <v/>
      </c>
      <c r="N13" s="33">
        <f>Model_Base!N13</f>
        <v/>
      </c>
      <c r="O13" s="33">
        <f>Model_Base!O13</f>
        <v/>
      </c>
      <c r="P13" s="33">
        <f>Model_Base!P13</f>
        <v/>
      </c>
      <c r="Q13" s="33">
        <f>Model_Base!Q13</f>
        <v/>
      </c>
      <c r="R13" s="33">
        <f>Model_Base!R13</f>
        <v/>
      </c>
      <c r="S13" s="33">
        <f>Model_Base!S13</f>
        <v/>
      </c>
      <c r="T13" s="33">
        <f>Model_Base!T13</f>
        <v/>
      </c>
      <c r="U13" s="33">
        <f>Model_Base!U13</f>
        <v/>
      </c>
      <c r="V13" s="33">
        <f>Model_Base!V13</f>
        <v/>
      </c>
      <c r="W13" s="33">
        <f>Model_Base!W13</f>
        <v/>
      </c>
      <c r="X13" s="33">
        <f>Model_Base!X13</f>
        <v/>
      </c>
      <c r="Y13" s="33">
        <f>Model_Base!Y13</f>
        <v/>
      </c>
      <c r="Z13" s="33">
        <f>Model_Base!Z13</f>
        <v/>
      </c>
      <c r="AA13" s="33">
        <f>Model_Base!AA13</f>
        <v/>
      </c>
      <c r="AB13" s="33">
        <f>Model_Base!AB13</f>
        <v/>
      </c>
      <c r="AC13" s="33">
        <f>Model_Base!AC13</f>
        <v/>
      </c>
      <c r="AD13" s="33">
        <f>Model_Base!AD13</f>
        <v/>
      </c>
      <c r="AE13" s="33">
        <f>Model_Base!AE13</f>
        <v/>
      </c>
      <c r="AF13" s="33">
        <f>Model_Base!AF13</f>
        <v/>
      </c>
      <c r="AG13" s="24">
        <f>AC13*(1+AG50)</f>
        <v/>
      </c>
      <c r="AH13" s="24">
        <f>AD13*(1+AH50)</f>
        <v/>
      </c>
      <c r="AI13" s="24">
        <f>AE13*(1+AI50)</f>
        <v/>
      </c>
      <c r="AJ13" s="24">
        <f>AF13*(1+AJ50)</f>
        <v/>
      </c>
      <c r="AK13" s="24">
        <f>AG13*(1+AK50)</f>
        <v/>
      </c>
      <c r="AL13" s="24">
        <f>AH13*(1+AL50)</f>
        <v/>
      </c>
    </row>
    <row r="14">
      <c r="A14" s="22" t="inlineStr">
        <is>
          <t>Hedging gains / (losses)</t>
        </is>
      </c>
      <c r="C14" s="33">
        <f>Model_Base!C14</f>
        <v/>
      </c>
      <c r="D14" s="33">
        <f>Model_Base!D14</f>
        <v/>
      </c>
      <c r="E14" s="33">
        <f>Model_Base!E14</f>
        <v/>
      </c>
      <c r="F14" s="33">
        <f>Model_Base!F14</f>
        <v/>
      </c>
      <c r="G14" s="33">
        <f>Model_Base!G14</f>
        <v/>
      </c>
      <c r="H14" s="33">
        <f>Model_Base!H14</f>
        <v/>
      </c>
      <c r="I14" s="33">
        <f>Model_Base!I14</f>
        <v/>
      </c>
      <c r="J14" s="33">
        <f>Model_Base!J14</f>
        <v/>
      </c>
      <c r="K14" s="33">
        <f>Model_Base!K14</f>
        <v/>
      </c>
      <c r="L14" s="33">
        <f>Model_Base!L14</f>
        <v/>
      </c>
      <c r="M14" s="33">
        <f>Model_Base!M14</f>
        <v/>
      </c>
      <c r="N14" s="33">
        <f>Model_Base!N14</f>
        <v/>
      </c>
      <c r="O14" s="33">
        <f>Model_Base!O14</f>
        <v/>
      </c>
      <c r="P14" s="33">
        <f>Model_Base!P14</f>
        <v/>
      </c>
      <c r="Q14" s="33">
        <f>Model_Base!Q14</f>
        <v/>
      </c>
      <c r="R14" s="33">
        <f>Model_Base!R14</f>
        <v/>
      </c>
      <c r="S14" s="33">
        <f>Model_Base!S14</f>
        <v/>
      </c>
      <c r="T14" s="33">
        <f>Model_Base!T14</f>
        <v/>
      </c>
      <c r="U14" s="33">
        <f>Model_Base!U14</f>
        <v/>
      </c>
      <c r="V14" s="33">
        <f>Model_Base!V14</f>
        <v/>
      </c>
      <c r="W14" s="33">
        <f>Model_Base!W14</f>
        <v/>
      </c>
      <c r="X14" s="33">
        <f>Model_Base!X14</f>
        <v/>
      </c>
      <c r="Y14" s="33">
        <f>Model_Base!Y14</f>
        <v/>
      </c>
      <c r="Z14" s="33">
        <f>Model_Base!Z14</f>
        <v/>
      </c>
      <c r="AA14" s="33">
        <f>Model_Base!AA14</f>
        <v/>
      </c>
      <c r="AB14" s="33">
        <f>Model_Base!AB14</f>
        <v/>
      </c>
      <c r="AC14" s="33">
        <f>Model_Base!AC14</f>
        <v/>
      </c>
      <c r="AD14" s="33">
        <f>Model_Base!AD14</f>
        <v/>
      </c>
      <c r="AE14" s="33">
        <f>Model_Base!AE14</f>
        <v/>
      </c>
      <c r="AF14" s="33">
        <f>Model_Base!AF14</f>
        <v/>
      </c>
      <c r="AG14" s="24" t="n">
        <v>0</v>
      </c>
      <c r="AH14" s="24" t="n">
        <v>0</v>
      </c>
      <c r="AI14" s="24" t="n">
        <v>0</v>
      </c>
      <c r="AJ14" s="24" t="n">
        <v>0</v>
      </c>
      <c r="AK14" s="24" t="n">
        <v>0</v>
      </c>
      <c r="AL14" s="24" t="n">
        <v>0</v>
      </c>
    </row>
    <row r="15">
      <c r="A15" s="6" t="inlineStr">
        <is>
          <t>Total revenues</t>
        </is>
      </c>
      <c r="C15" s="25">
        <f>SUM(C8:C14)</f>
        <v/>
      </c>
      <c r="D15" s="25">
        <f>SUM(D8:D14)</f>
        <v/>
      </c>
      <c r="E15" s="25">
        <f>SUM(E8:E14)</f>
        <v/>
      </c>
      <c r="F15" s="25">
        <f>SUM(F8:F14)</f>
        <v/>
      </c>
      <c r="G15" s="25">
        <f>SUM(G8:G14)</f>
        <v/>
      </c>
      <c r="H15" s="25">
        <f>SUM(H8:H14)</f>
        <v/>
      </c>
      <c r="I15" s="25">
        <f>SUM(I8:I14)</f>
        <v/>
      </c>
      <c r="J15" s="25">
        <f>SUM(J8:J14)</f>
        <v/>
      </c>
      <c r="K15" s="25">
        <f>SUM(K8:K14)</f>
        <v/>
      </c>
      <c r="L15" s="25">
        <f>SUM(L8:L14)</f>
        <v/>
      </c>
      <c r="M15" s="25">
        <f>SUM(M8:M14)</f>
        <v/>
      </c>
      <c r="N15" s="25">
        <f>SUM(N8:N14)</f>
        <v/>
      </c>
      <c r="O15" s="25">
        <f>SUM(O8:O14)</f>
        <v/>
      </c>
      <c r="P15" s="25">
        <f>SUM(P8:P14)</f>
        <v/>
      </c>
      <c r="Q15" s="25">
        <f>SUM(Q8:Q14)</f>
        <v/>
      </c>
      <c r="R15" s="25">
        <f>SUM(R8:R14)</f>
        <v/>
      </c>
      <c r="S15" s="25">
        <f>SUM(S8:S14)</f>
        <v/>
      </c>
      <c r="T15" s="25">
        <f>SUM(T8:T14)</f>
        <v/>
      </c>
      <c r="U15" s="25">
        <f>SUM(U8:U14)</f>
        <v/>
      </c>
      <c r="V15" s="25">
        <f>SUM(V8:V14)</f>
        <v/>
      </c>
      <c r="W15" s="25">
        <f>SUM(W8:W14)</f>
        <v/>
      </c>
      <c r="X15" s="25">
        <f>SUM(X8:X14)</f>
        <v/>
      </c>
      <c r="Y15" s="25">
        <f>SUM(Y8:Y14)</f>
        <v/>
      </c>
      <c r="Z15" s="25">
        <f>SUM(Z8:Z14)</f>
        <v/>
      </c>
      <c r="AA15" s="25">
        <f>SUM(AA8:AA14)</f>
        <v/>
      </c>
      <c r="AB15" s="25">
        <f>SUM(AB8:AB14)</f>
        <v/>
      </c>
      <c r="AC15" s="25">
        <f>SUM(AC8:AC14)</f>
        <v/>
      </c>
      <c r="AD15" s="25">
        <f>SUM(AD8:AD14)</f>
        <v/>
      </c>
      <c r="AE15" s="25">
        <f>SUM(AE8:AE14)</f>
        <v/>
      </c>
      <c r="AF15" s="25">
        <f>SUM(AF8:AF14)</f>
        <v/>
      </c>
      <c r="AG15" s="26">
        <f>SUM(AG8:AG14)</f>
        <v/>
      </c>
      <c r="AH15" s="26">
        <f>SUM(AH8:AH14)</f>
        <v/>
      </c>
      <c r="AI15" s="26">
        <f>SUM(AI8:AI14)</f>
        <v/>
      </c>
      <c r="AJ15" s="26">
        <f>SUM(AJ8:AJ14)</f>
        <v/>
      </c>
      <c r="AK15" s="26">
        <f>SUM(AK8:AK14)</f>
        <v/>
      </c>
      <c r="AL15" s="26">
        <f>SUM(AL8:AL14)</f>
        <v/>
      </c>
    </row>
    <row r="17">
      <c r="A17" s="6" t="inlineStr">
        <is>
          <t>YoY GROWTH</t>
        </is>
      </c>
    </row>
    <row r="18">
      <c r="A18" s="22" t="inlineStr">
        <is>
          <t>Search &amp; other</t>
        </is>
      </c>
      <c r="G18" s="27">
        <f>G8/C8-1</f>
        <v/>
      </c>
      <c r="H18" s="27">
        <f>H8/D8-1</f>
        <v/>
      </c>
      <c r="I18" s="27">
        <f>I8/E8-1</f>
        <v/>
      </c>
      <c r="J18" s="27">
        <f>J8/F8-1</f>
        <v/>
      </c>
      <c r="K18" s="27">
        <f>K8/G8-1</f>
        <v/>
      </c>
      <c r="L18" s="27">
        <f>L8/H8-1</f>
        <v/>
      </c>
      <c r="M18" s="27">
        <f>M8/I8-1</f>
        <v/>
      </c>
      <c r="N18" s="27">
        <f>N8/J8-1</f>
        <v/>
      </c>
      <c r="O18" s="27">
        <f>O8/K8-1</f>
        <v/>
      </c>
      <c r="P18" s="27">
        <f>P8/L8-1</f>
        <v/>
      </c>
      <c r="Q18" s="27">
        <f>Q8/M8-1</f>
        <v/>
      </c>
      <c r="R18" s="27">
        <f>R8/N8-1</f>
        <v/>
      </c>
      <c r="S18" s="27">
        <f>S8/O8-1</f>
        <v/>
      </c>
      <c r="T18" s="27">
        <f>T8/P8-1</f>
        <v/>
      </c>
      <c r="U18" s="27">
        <f>U8/Q8-1</f>
        <v/>
      </c>
      <c r="V18" s="27">
        <f>V8/R8-1</f>
        <v/>
      </c>
      <c r="W18" s="27">
        <f>W8/S8-1</f>
        <v/>
      </c>
      <c r="X18" s="27">
        <f>X8/T8-1</f>
        <v/>
      </c>
      <c r="Y18" s="27">
        <f>Y8/U8-1</f>
        <v/>
      </c>
      <c r="Z18" s="27">
        <f>Z8/V8-1</f>
        <v/>
      </c>
      <c r="AA18" s="27">
        <f>AA8/W8-1</f>
        <v/>
      </c>
      <c r="AB18" s="27">
        <f>AB8/X8-1</f>
        <v/>
      </c>
      <c r="AC18" s="27">
        <f>AC8/Y8-1</f>
        <v/>
      </c>
      <c r="AD18" s="27">
        <f>AD8/Z8-1</f>
        <v/>
      </c>
      <c r="AE18" s="27">
        <f>AE8/AA8-1</f>
        <v/>
      </c>
      <c r="AF18" s="27">
        <f>AF8/AB8-1</f>
        <v/>
      </c>
      <c r="AG18" s="28">
        <f>AG8/AC8-1</f>
        <v/>
      </c>
      <c r="AH18" s="28">
        <f>AH8/AD8-1</f>
        <v/>
      </c>
      <c r="AI18" s="28">
        <f>AI8/AE8-1</f>
        <v/>
      </c>
      <c r="AJ18" s="28">
        <f>AJ8/AF8-1</f>
        <v/>
      </c>
      <c r="AK18" s="28">
        <f>AK8/AG8-1</f>
        <v/>
      </c>
      <c r="AL18" s="28">
        <f>AL8/AH8-1</f>
        <v/>
      </c>
    </row>
    <row r="19">
      <c r="A19" s="22" t="inlineStr">
        <is>
          <t>YouTube ads</t>
        </is>
      </c>
      <c r="G19" s="27">
        <f>G9/C9-1</f>
        <v/>
      </c>
      <c r="H19" s="27">
        <f>H9/D9-1</f>
        <v/>
      </c>
      <c r="I19" s="27">
        <f>I9/E9-1</f>
        <v/>
      </c>
      <c r="J19" s="27">
        <f>J9/F9-1</f>
        <v/>
      </c>
      <c r="K19" s="27">
        <f>K9/G9-1</f>
        <v/>
      </c>
      <c r="L19" s="27">
        <f>L9/H9-1</f>
        <v/>
      </c>
      <c r="M19" s="27">
        <f>M9/I9-1</f>
        <v/>
      </c>
      <c r="N19" s="27">
        <f>N9/J9-1</f>
        <v/>
      </c>
      <c r="O19" s="27">
        <f>O9/K9-1</f>
        <v/>
      </c>
      <c r="P19" s="27">
        <f>P9/L9-1</f>
        <v/>
      </c>
      <c r="Q19" s="27">
        <f>Q9/M9-1</f>
        <v/>
      </c>
      <c r="R19" s="27">
        <f>R9/N9-1</f>
        <v/>
      </c>
      <c r="S19" s="27">
        <f>S9/O9-1</f>
        <v/>
      </c>
      <c r="T19" s="27">
        <f>T9/P9-1</f>
        <v/>
      </c>
      <c r="U19" s="27">
        <f>U9/Q9-1</f>
        <v/>
      </c>
      <c r="V19" s="27">
        <f>V9/R9-1</f>
        <v/>
      </c>
      <c r="W19" s="27">
        <f>W9/S9-1</f>
        <v/>
      </c>
      <c r="X19" s="27">
        <f>X9/T9-1</f>
        <v/>
      </c>
      <c r="Y19" s="27">
        <f>Y9/U9-1</f>
        <v/>
      </c>
      <c r="Z19" s="27">
        <f>Z9/V9-1</f>
        <v/>
      </c>
      <c r="AA19" s="27">
        <f>AA9/W9-1</f>
        <v/>
      </c>
      <c r="AB19" s="27">
        <f>AB9/X9-1</f>
        <v/>
      </c>
      <c r="AC19" s="27">
        <f>AC9/Y9-1</f>
        <v/>
      </c>
      <c r="AD19" s="27">
        <f>AD9/Z9-1</f>
        <v/>
      </c>
      <c r="AE19" s="27">
        <f>AE9/AA9-1</f>
        <v/>
      </c>
      <c r="AF19" s="27">
        <f>AF9/AB9-1</f>
        <v/>
      </c>
      <c r="AG19" s="28">
        <f>AG9/AC9-1</f>
        <v/>
      </c>
      <c r="AH19" s="28">
        <f>AH9/AD9-1</f>
        <v/>
      </c>
      <c r="AI19" s="28">
        <f>AI9/AE9-1</f>
        <v/>
      </c>
      <c r="AJ19" s="28">
        <f>AJ9/AF9-1</f>
        <v/>
      </c>
      <c r="AK19" s="28">
        <f>AK9/AG9-1</f>
        <v/>
      </c>
      <c r="AL19" s="28">
        <f>AL9/AH9-1</f>
        <v/>
      </c>
    </row>
    <row r="20">
      <c r="A20" s="22" t="inlineStr">
        <is>
          <t>Network</t>
        </is>
      </c>
      <c r="G20" s="27">
        <f>G10/C10-1</f>
        <v/>
      </c>
      <c r="H20" s="27">
        <f>H10/D10-1</f>
        <v/>
      </c>
      <c r="I20" s="27">
        <f>I10/E10-1</f>
        <v/>
      </c>
      <c r="J20" s="27">
        <f>J10/F10-1</f>
        <v/>
      </c>
      <c r="K20" s="27">
        <f>K10/G10-1</f>
        <v/>
      </c>
      <c r="L20" s="27">
        <f>L10/H10-1</f>
        <v/>
      </c>
      <c r="M20" s="27">
        <f>M10/I10-1</f>
        <v/>
      </c>
      <c r="N20" s="27">
        <f>N10/J10-1</f>
        <v/>
      </c>
      <c r="O20" s="27">
        <f>O10/K10-1</f>
        <v/>
      </c>
      <c r="P20" s="27">
        <f>P10/L10-1</f>
        <v/>
      </c>
      <c r="Q20" s="27">
        <f>Q10/M10-1</f>
        <v/>
      </c>
      <c r="R20" s="27">
        <f>R10/N10-1</f>
        <v/>
      </c>
      <c r="S20" s="27">
        <f>S10/O10-1</f>
        <v/>
      </c>
      <c r="T20" s="27">
        <f>T10/P10-1</f>
        <v/>
      </c>
      <c r="U20" s="27">
        <f>U10/Q10-1</f>
        <v/>
      </c>
      <c r="V20" s="27">
        <f>V10/R10-1</f>
        <v/>
      </c>
      <c r="W20" s="27">
        <f>W10/S10-1</f>
        <v/>
      </c>
      <c r="X20" s="27">
        <f>X10/T10-1</f>
        <v/>
      </c>
      <c r="Y20" s="27">
        <f>Y10/U10-1</f>
        <v/>
      </c>
      <c r="Z20" s="27">
        <f>Z10/V10-1</f>
        <v/>
      </c>
      <c r="AA20" s="27">
        <f>AA10/W10-1</f>
        <v/>
      </c>
      <c r="AB20" s="27">
        <f>AB10/X10-1</f>
        <v/>
      </c>
      <c r="AC20" s="27">
        <f>AC10/Y10-1</f>
        <v/>
      </c>
      <c r="AD20" s="27">
        <f>AD10/Z10-1</f>
        <v/>
      </c>
      <c r="AE20" s="27">
        <f>AE10/AA10-1</f>
        <v/>
      </c>
      <c r="AF20" s="27">
        <f>AF10/AB10-1</f>
        <v/>
      </c>
      <c r="AG20" s="28">
        <f>AG10/AC10-1</f>
        <v/>
      </c>
      <c r="AH20" s="28">
        <f>AH10/AD10-1</f>
        <v/>
      </c>
      <c r="AI20" s="28">
        <f>AI10/AE10-1</f>
        <v/>
      </c>
      <c r="AJ20" s="28">
        <f>AJ10/AF10-1</f>
        <v/>
      </c>
      <c r="AK20" s="28">
        <f>AK10/AG10-1</f>
        <v/>
      </c>
      <c r="AL20" s="28">
        <f>AL10/AH10-1</f>
        <v/>
      </c>
    </row>
    <row r="21">
      <c r="A21" s="22" t="inlineStr">
        <is>
          <t>Subscriptions, platforms &amp; devices</t>
        </is>
      </c>
      <c r="G21" s="27">
        <f>G11/C11-1</f>
        <v/>
      </c>
      <c r="H21" s="27">
        <f>H11/D11-1</f>
        <v/>
      </c>
      <c r="I21" s="27">
        <f>I11/E11-1</f>
        <v/>
      </c>
      <c r="J21" s="27">
        <f>J11/F11-1</f>
        <v/>
      </c>
      <c r="K21" s="27">
        <f>K11/G11-1</f>
        <v/>
      </c>
      <c r="L21" s="27">
        <f>L11/H11-1</f>
        <v/>
      </c>
      <c r="M21" s="27">
        <f>M11/I11-1</f>
        <v/>
      </c>
      <c r="N21" s="27">
        <f>N11/J11-1</f>
        <v/>
      </c>
      <c r="O21" s="27">
        <f>O11/K11-1</f>
        <v/>
      </c>
      <c r="P21" s="27">
        <f>P11/L11-1</f>
        <v/>
      </c>
      <c r="Q21" s="27">
        <f>Q11/M11-1</f>
        <v/>
      </c>
      <c r="R21" s="27">
        <f>R11/N11-1</f>
        <v/>
      </c>
      <c r="S21" s="27">
        <f>S11/O11-1</f>
        <v/>
      </c>
      <c r="T21" s="27">
        <f>T11/P11-1</f>
        <v/>
      </c>
      <c r="U21" s="27">
        <f>U11/Q11-1</f>
        <v/>
      </c>
      <c r="V21" s="27">
        <f>V11/R11-1</f>
        <v/>
      </c>
      <c r="W21" s="27">
        <f>W11/S11-1</f>
        <v/>
      </c>
      <c r="X21" s="27">
        <f>X11/T11-1</f>
        <v/>
      </c>
      <c r="Y21" s="27">
        <f>Y11/U11-1</f>
        <v/>
      </c>
      <c r="Z21" s="27">
        <f>Z11/V11-1</f>
        <v/>
      </c>
      <c r="AA21" s="27">
        <f>AA11/W11-1</f>
        <v/>
      </c>
      <c r="AB21" s="27">
        <f>AB11/X11-1</f>
        <v/>
      </c>
      <c r="AC21" s="27">
        <f>AC11/Y11-1</f>
        <v/>
      </c>
      <c r="AD21" s="27">
        <f>AD11/Z11-1</f>
        <v/>
      </c>
      <c r="AE21" s="27">
        <f>AE11/AA11-1</f>
        <v/>
      </c>
      <c r="AF21" s="27">
        <f>AF11/AB11-1</f>
        <v/>
      </c>
      <c r="AG21" s="28">
        <f>AG11/AC11-1</f>
        <v/>
      </c>
      <c r="AH21" s="28">
        <f>AH11/AD11-1</f>
        <v/>
      </c>
      <c r="AI21" s="28">
        <f>AI11/AE11-1</f>
        <v/>
      </c>
      <c r="AJ21" s="28">
        <f>AJ11/AF11-1</f>
        <v/>
      </c>
      <c r="AK21" s="28">
        <f>AK11/AG11-1</f>
        <v/>
      </c>
      <c r="AL21" s="28">
        <f>AL11/AH11-1</f>
        <v/>
      </c>
    </row>
    <row r="22">
      <c r="A22" s="22" t="inlineStr">
        <is>
          <t>Google Cloud</t>
        </is>
      </c>
      <c r="G22" s="27">
        <f>G12/C12-1</f>
        <v/>
      </c>
      <c r="H22" s="27">
        <f>H12/D12-1</f>
        <v/>
      </c>
      <c r="I22" s="27">
        <f>I12/E12-1</f>
        <v/>
      </c>
      <c r="J22" s="27">
        <f>J12/F12-1</f>
        <v/>
      </c>
      <c r="K22" s="27">
        <f>K12/G12-1</f>
        <v/>
      </c>
      <c r="L22" s="27">
        <f>L12/H12-1</f>
        <v/>
      </c>
      <c r="M22" s="27">
        <f>M12/I12-1</f>
        <v/>
      </c>
      <c r="N22" s="27">
        <f>N12/J12-1</f>
        <v/>
      </c>
      <c r="O22" s="27">
        <f>O12/K12-1</f>
        <v/>
      </c>
      <c r="P22" s="27">
        <f>P12/L12-1</f>
        <v/>
      </c>
      <c r="Q22" s="27">
        <f>Q12/M12-1</f>
        <v/>
      </c>
      <c r="R22" s="27">
        <f>R12/N12-1</f>
        <v/>
      </c>
      <c r="S22" s="27">
        <f>S12/O12-1</f>
        <v/>
      </c>
      <c r="T22" s="27">
        <f>T12/P12-1</f>
        <v/>
      </c>
      <c r="U22" s="27">
        <f>U12/Q12-1</f>
        <v/>
      </c>
      <c r="V22" s="27">
        <f>V12/R12-1</f>
        <v/>
      </c>
      <c r="W22" s="27">
        <f>W12/S12-1</f>
        <v/>
      </c>
      <c r="X22" s="27">
        <f>X12/T12-1</f>
        <v/>
      </c>
      <c r="Y22" s="27">
        <f>Y12/U12-1</f>
        <v/>
      </c>
      <c r="Z22" s="27">
        <f>Z12/V12-1</f>
        <v/>
      </c>
      <c r="AA22" s="27">
        <f>AA12/W12-1</f>
        <v/>
      </c>
      <c r="AB22" s="27">
        <f>AB12/X12-1</f>
        <v/>
      </c>
      <c r="AC22" s="27">
        <f>AC12/Y12-1</f>
        <v/>
      </c>
      <c r="AD22" s="27">
        <f>AD12/Z12-1</f>
        <v/>
      </c>
      <c r="AE22" s="27">
        <f>AE12/AA12-1</f>
        <v/>
      </c>
      <c r="AF22" s="27">
        <f>AF12/AB12-1</f>
        <v/>
      </c>
      <c r="AG22" s="28">
        <f>AG12/AC12-1</f>
        <v/>
      </c>
      <c r="AH22" s="28">
        <f>AH12/AD12-1</f>
        <v/>
      </c>
      <c r="AI22" s="28">
        <f>AI12/AE12-1</f>
        <v/>
      </c>
      <c r="AJ22" s="28">
        <f>AJ12/AF12-1</f>
        <v/>
      </c>
      <c r="AK22" s="28">
        <f>AK12/AG12-1</f>
        <v/>
      </c>
      <c r="AL22" s="28">
        <f>AL12/AH12-1</f>
        <v/>
      </c>
    </row>
    <row r="23">
      <c r="A23" s="22" t="inlineStr">
        <is>
          <t>Other Bets</t>
        </is>
      </c>
      <c r="G23" s="27">
        <f>G13/C13-1</f>
        <v/>
      </c>
      <c r="H23" s="27">
        <f>H13/D13-1</f>
        <v/>
      </c>
      <c r="I23" s="27">
        <f>I13/E13-1</f>
        <v/>
      </c>
      <c r="J23" s="27">
        <f>J13/F13-1</f>
        <v/>
      </c>
      <c r="K23" s="27">
        <f>K13/G13-1</f>
        <v/>
      </c>
      <c r="L23" s="27">
        <f>L13/H13-1</f>
        <v/>
      </c>
      <c r="M23" s="27">
        <f>M13/I13-1</f>
        <v/>
      </c>
      <c r="N23" s="27">
        <f>N13/J13-1</f>
        <v/>
      </c>
      <c r="O23" s="27">
        <f>O13/K13-1</f>
        <v/>
      </c>
      <c r="P23" s="27">
        <f>P13/L13-1</f>
        <v/>
      </c>
      <c r="Q23" s="27">
        <f>Q13/M13-1</f>
        <v/>
      </c>
      <c r="R23" s="27">
        <f>R13/N13-1</f>
        <v/>
      </c>
      <c r="S23" s="27">
        <f>S13/O13-1</f>
        <v/>
      </c>
      <c r="T23" s="27">
        <f>T13/P13-1</f>
        <v/>
      </c>
      <c r="U23" s="27">
        <f>U13/Q13-1</f>
        <v/>
      </c>
      <c r="V23" s="27">
        <f>V13/R13-1</f>
        <v/>
      </c>
      <c r="W23" s="27">
        <f>W13/S13-1</f>
        <v/>
      </c>
      <c r="X23" s="27">
        <f>X13/T13-1</f>
        <v/>
      </c>
      <c r="Y23" s="27">
        <f>Y13/U13-1</f>
        <v/>
      </c>
      <c r="Z23" s="27">
        <f>Z13/V13-1</f>
        <v/>
      </c>
      <c r="AA23" s="27">
        <f>AA13/W13-1</f>
        <v/>
      </c>
      <c r="AB23" s="27">
        <f>AB13/X13-1</f>
        <v/>
      </c>
      <c r="AC23" s="27">
        <f>AC13/Y13-1</f>
        <v/>
      </c>
      <c r="AD23" s="27">
        <f>AD13/Z13-1</f>
        <v/>
      </c>
      <c r="AE23" s="27">
        <f>AE13/AA13-1</f>
        <v/>
      </c>
      <c r="AF23" s="27">
        <f>AF13/AB13-1</f>
        <v/>
      </c>
      <c r="AG23" s="28">
        <f>AG13/AC13-1</f>
        <v/>
      </c>
      <c r="AH23" s="28">
        <f>AH13/AD13-1</f>
        <v/>
      </c>
      <c r="AI23" s="28">
        <f>AI13/AE13-1</f>
        <v/>
      </c>
      <c r="AJ23" s="28">
        <f>AJ13/AF13-1</f>
        <v/>
      </c>
      <c r="AK23" s="28">
        <f>AK13/AG13-1</f>
        <v/>
      </c>
      <c r="AL23" s="28">
        <f>AL13/AH13-1</f>
        <v/>
      </c>
    </row>
    <row r="24">
      <c r="A24" s="6" t="inlineStr">
        <is>
          <t>Total revenues</t>
        </is>
      </c>
      <c r="G24" s="29">
        <f>G15/C15-1</f>
        <v/>
      </c>
      <c r="H24" s="29">
        <f>H15/D15-1</f>
        <v/>
      </c>
      <c r="I24" s="29">
        <f>I15/E15-1</f>
        <v/>
      </c>
      <c r="J24" s="29">
        <f>J15/F15-1</f>
        <v/>
      </c>
      <c r="K24" s="29">
        <f>K15/G15-1</f>
        <v/>
      </c>
      <c r="L24" s="29">
        <f>L15/H15-1</f>
        <v/>
      </c>
      <c r="M24" s="29">
        <f>M15/I15-1</f>
        <v/>
      </c>
      <c r="N24" s="29">
        <f>N15/J15-1</f>
        <v/>
      </c>
      <c r="O24" s="29">
        <f>O15/K15-1</f>
        <v/>
      </c>
      <c r="P24" s="29">
        <f>P15/L15-1</f>
        <v/>
      </c>
      <c r="Q24" s="29">
        <f>Q15/M15-1</f>
        <v/>
      </c>
      <c r="R24" s="29">
        <f>R15/N15-1</f>
        <v/>
      </c>
      <c r="S24" s="29">
        <f>S15/O15-1</f>
        <v/>
      </c>
      <c r="T24" s="29">
        <f>T15/P15-1</f>
        <v/>
      </c>
      <c r="U24" s="29">
        <f>U15/Q15-1</f>
        <v/>
      </c>
      <c r="V24" s="29">
        <f>V15/R15-1</f>
        <v/>
      </c>
      <c r="W24" s="29">
        <f>W15/S15-1</f>
        <v/>
      </c>
      <c r="X24" s="29">
        <f>X15/T15-1</f>
        <v/>
      </c>
      <c r="Y24" s="29">
        <f>Y15/U15-1</f>
        <v/>
      </c>
      <c r="Z24" s="29">
        <f>Z15/V15-1</f>
        <v/>
      </c>
      <c r="AA24" s="29">
        <f>AA15/W15-1</f>
        <v/>
      </c>
      <c r="AB24" s="29">
        <f>AB15/X15-1</f>
        <v/>
      </c>
      <c r="AC24" s="29">
        <f>AC15/Y15-1</f>
        <v/>
      </c>
      <c r="AD24" s="29">
        <f>AD15/Z15-1</f>
        <v/>
      </c>
      <c r="AE24" s="29">
        <f>AE15/AA15-1</f>
        <v/>
      </c>
      <c r="AF24" s="29">
        <f>AF15/AB15-1</f>
        <v/>
      </c>
      <c r="AG24" s="30">
        <f>AG15/AC15-1</f>
        <v/>
      </c>
      <c r="AH24" s="30">
        <f>AH15/AD15-1</f>
        <v/>
      </c>
      <c r="AI24" s="30">
        <f>AI15/AE15-1</f>
        <v/>
      </c>
      <c r="AJ24" s="30">
        <f>AJ15/AF15-1</f>
        <v/>
      </c>
      <c r="AK24" s="30">
        <f>AK15/AG15-1</f>
        <v/>
      </c>
      <c r="AL24" s="30">
        <f>AL15/AH15-1</f>
        <v/>
      </c>
    </row>
    <row r="26">
      <c r="A26" s="6" t="inlineStr">
        <is>
          <t>PROFIT &amp; LOSS</t>
        </is>
      </c>
    </row>
    <row r="27">
      <c r="A27" s="22" t="inlineStr">
        <is>
          <t>Cost of revenues</t>
        </is>
      </c>
      <c r="C27" s="33">
        <f>Model_Base!C27</f>
        <v/>
      </c>
      <c r="D27" s="33">
        <f>Model_Base!D27</f>
        <v/>
      </c>
      <c r="E27" s="33">
        <f>Model_Base!E27</f>
        <v/>
      </c>
      <c r="F27" s="33">
        <f>Model_Base!F27</f>
        <v/>
      </c>
      <c r="G27" s="33">
        <f>Model_Base!G27</f>
        <v/>
      </c>
      <c r="H27" s="33">
        <f>Model_Base!H27</f>
        <v/>
      </c>
      <c r="I27" s="33">
        <f>Model_Base!I27</f>
        <v/>
      </c>
      <c r="J27" s="33">
        <f>Model_Base!J27</f>
        <v/>
      </c>
      <c r="K27" s="33">
        <f>Model_Base!K27</f>
        <v/>
      </c>
      <c r="L27" s="33">
        <f>Model_Base!L27</f>
        <v/>
      </c>
      <c r="M27" s="33">
        <f>Model_Base!M27</f>
        <v/>
      </c>
      <c r="N27" s="33">
        <f>Model_Base!N27</f>
        <v/>
      </c>
      <c r="O27" s="33">
        <f>Model_Base!O27</f>
        <v/>
      </c>
      <c r="P27" s="33">
        <f>Model_Base!P27</f>
        <v/>
      </c>
      <c r="Q27" s="33">
        <f>Model_Base!Q27</f>
        <v/>
      </c>
      <c r="R27" s="33">
        <f>Model_Base!R27</f>
        <v/>
      </c>
      <c r="S27" s="33">
        <f>Model_Base!S27</f>
        <v/>
      </c>
      <c r="T27" s="33">
        <f>Model_Base!T27</f>
        <v/>
      </c>
      <c r="U27" s="33">
        <f>Model_Base!U27</f>
        <v/>
      </c>
      <c r="V27" s="33">
        <f>Model_Base!V27</f>
        <v/>
      </c>
      <c r="W27" s="33">
        <f>Model_Base!W27</f>
        <v/>
      </c>
      <c r="X27" s="33">
        <f>Model_Base!X27</f>
        <v/>
      </c>
      <c r="Y27" s="33">
        <f>Model_Base!Y27</f>
        <v/>
      </c>
      <c r="Z27" s="33">
        <f>Model_Base!Z27</f>
        <v/>
      </c>
      <c r="AA27" s="33">
        <f>Model_Base!AA27</f>
        <v/>
      </c>
      <c r="AB27" s="33">
        <f>Model_Base!AB27</f>
        <v/>
      </c>
      <c r="AC27" s="33">
        <f>Model_Base!AC27</f>
        <v/>
      </c>
      <c r="AD27" s="33">
        <f>Model_Base!AD27</f>
        <v/>
      </c>
      <c r="AE27" s="33">
        <f>Model_Base!AE27</f>
        <v/>
      </c>
      <c r="AF27" s="33">
        <f>Model_Base!AF27</f>
        <v/>
      </c>
      <c r="AG27" s="24">
        <f>AG15*AG39</f>
        <v/>
      </c>
      <c r="AH27" s="24">
        <f>AH15*AH39</f>
        <v/>
      </c>
      <c r="AI27" s="24">
        <f>AI15*AI39</f>
        <v/>
      </c>
      <c r="AJ27" s="24">
        <f>AJ15*AJ39</f>
        <v/>
      </c>
      <c r="AK27" s="24">
        <f>AK15*AK39</f>
        <v/>
      </c>
      <c r="AL27" s="24">
        <f>AL15*AL39</f>
        <v/>
      </c>
    </row>
    <row r="28">
      <c r="A28" s="6" t="inlineStr">
        <is>
          <t>Gross profit</t>
        </is>
      </c>
      <c r="C28" s="25">
        <f>C15-C27</f>
        <v/>
      </c>
      <c r="D28" s="25">
        <f>D15-D27</f>
        <v/>
      </c>
      <c r="E28" s="25">
        <f>E15-E27</f>
        <v/>
      </c>
      <c r="F28" s="25">
        <f>F15-F27</f>
        <v/>
      </c>
      <c r="G28" s="25">
        <f>G15-G27</f>
        <v/>
      </c>
      <c r="H28" s="25">
        <f>H15-H27</f>
        <v/>
      </c>
      <c r="I28" s="25">
        <f>I15-I27</f>
        <v/>
      </c>
      <c r="J28" s="25">
        <f>J15-J27</f>
        <v/>
      </c>
      <c r="K28" s="25">
        <f>K15-K27</f>
        <v/>
      </c>
      <c r="L28" s="25">
        <f>L15-L27</f>
        <v/>
      </c>
      <c r="M28" s="25">
        <f>M15-M27</f>
        <v/>
      </c>
      <c r="N28" s="25">
        <f>N15-N27</f>
        <v/>
      </c>
      <c r="O28" s="25">
        <f>O15-O27</f>
        <v/>
      </c>
      <c r="P28" s="25">
        <f>P15-P27</f>
        <v/>
      </c>
      <c r="Q28" s="25">
        <f>Q15-Q27</f>
        <v/>
      </c>
      <c r="R28" s="25">
        <f>R15-R27</f>
        <v/>
      </c>
      <c r="S28" s="25">
        <f>S15-S27</f>
        <v/>
      </c>
      <c r="T28" s="25">
        <f>T15-T27</f>
        <v/>
      </c>
      <c r="U28" s="25">
        <f>U15-U27</f>
        <v/>
      </c>
      <c r="V28" s="25">
        <f>V15-V27</f>
        <v/>
      </c>
      <c r="W28" s="25">
        <f>W15-W27</f>
        <v/>
      </c>
      <c r="X28" s="25">
        <f>X15-X27</f>
        <v/>
      </c>
      <c r="Y28" s="25">
        <f>Y15-Y27</f>
        <v/>
      </c>
      <c r="Z28" s="25">
        <f>Z15-Z27</f>
        <v/>
      </c>
      <c r="AA28" s="25">
        <f>AA15-AA27</f>
        <v/>
      </c>
      <c r="AB28" s="25">
        <f>AB15-AB27</f>
        <v/>
      </c>
      <c r="AC28" s="25">
        <f>AC15-AC27</f>
        <v/>
      </c>
      <c r="AD28" s="25">
        <f>AD15-AD27</f>
        <v/>
      </c>
      <c r="AE28" s="25">
        <f>AE15-AE27</f>
        <v/>
      </c>
      <c r="AF28" s="25">
        <f>AF15-AF27</f>
        <v/>
      </c>
      <c r="AG28" s="26">
        <f>AG15-AG27</f>
        <v/>
      </c>
      <c r="AH28" s="26">
        <f>AH15-AH27</f>
        <v/>
      </c>
      <c r="AI28" s="26">
        <f>AI15-AI27</f>
        <v/>
      </c>
      <c r="AJ28" s="26">
        <f>AJ15-AJ27</f>
        <v/>
      </c>
      <c r="AK28" s="26">
        <f>AK15-AK27</f>
        <v/>
      </c>
      <c r="AL28" s="26">
        <f>AL15-AL27</f>
        <v/>
      </c>
    </row>
    <row r="29">
      <c r="A29" s="4" t="inlineStr">
        <is>
          <t xml:space="preserve">  Gross margin</t>
        </is>
      </c>
      <c r="C29" s="27">
        <f>C28/C15</f>
        <v/>
      </c>
      <c r="D29" s="27">
        <f>D28/D15</f>
        <v/>
      </c>
      <c r="E29" s="27">
        <f>E28/E15</f>
        <v/>
      </c>
      <c r="F29" s="27">
        <f>F28/F15</f>
        <v/>
      </c>
      <c r="G29" s="27">
        <f>G28/G15</f>
        <v/>
      </c>
      <c r="H29" s="27">
        <f>H28/H15</f>
        <v/>
      </c>
      <c r="I29" s="27">
        <f>I28/I15</f>
        <v/>
      </c>
      <c r="J29" s="27">
        <f>J28/J15</f>
        <v/>
      </c>
      <c r="K29" s="27">
        <f>K28/K15</f>
        <v/>
      </c>
      <c r="L29" s="27">
        <f>L28/L15</f>
        <v/>
      </c>
      <c r="M29" s="27">
        <f>M28/M15</f>
        <v/>
      </c>
      <c r="N29" s="27">
        <f>N28/N15</f>
        <v/>
      </c>
      <c r="O29" s="27">
        <f>O28/O15</f>
        <v/>
      </c>
      <c r="P29" s="27">
        <f>P28/P15</f>
        <v/>
      </c>
      <c r="Q29" s="27">
        <f>Q28/Q15</f>
        <v/>
      </c>
      <c r="R29" s="27">
        <f>R28/R15</f>
        <v/>
      </c>
      <c r="S29" s="27">
        <f>S28/S15</f>
        <v/>
      </c>
      <c r="T29" s="27">
        <f>T28/T15</f>
        <v/>
      </c>
      <c r="U29" s="27">
        <f>U28/U15</f>
        <v/>
      </c>
      <c r="V29" s="27">
        <f>V28/V15</f>
        <v/>
      </c>
      <c r="W29" s="27">
        <f>W28/W15</f>
        <v/>
      </c>
      <c r="X29" s="27">
        <f>X28/X15</f>
        <v/>
      </c>
      <c r="Y29" s="27">
        <f>Y28/Y15</f>
        <v/>
      </c>
      <c r="Z29" s="27">
        <f>Z28/Z15</f>
        <v/>
      </c>
      <c r="AA29" s="27">
        <f>AA28/AA15</f>
        <v/>
      </c>
      <c r="AB29" s="27">
        <f>AB28/AB15</f>
        <v/>
      </c>
      <c r="AC29" s="27">
        <f>AC28/AC15</f>
        <v/>
      </c>
      <c r="AD29" s="27">
        <f>AD28/AD15</f>
        <v/>
      </c>
      <c r="AE29" s="27">
        <f>AE28/AE15</f>
        <v/>
      </c>
      <c r="AF29" s="27">
        <f>AF28/AF15</f>
        <v/>
      </c>
      <c r="AG29" s="28">
        <f>AG28/AG15</f>
        <v/>
      </c>
      <c r="AH29" s="28">
        <f>AH28/AH15</f>
        <v/>
      </c>
      <c r="AI29" s="28">
        <f>AI28/AI15</f>
        <v/>
      </c>
      <c r="AJ29" s="28">
        <f>AJ28/AJ15</f>
        <v/>
      </c>
      <c r="AK29" s="28">
        <f>AK28/AK15</f>
        <v/>
      </c>
      <c r="AL29" s="28">
        <f>AL28/AL15</f>
        <v/>
      </c>
    </row>
    <row r="30">
      <c r="A30" s="22" t="inlineStr">
        <is>
          <t>Research &amp; development</t>
        </is>
      </c>
      <c r="C30" s="33">
        <f>Model_Base!C30</f>
        <v/>
      </c>
      <c r="D30" s="33">
        <f>Model_Base!D30</f>
        <v/>
      </c>
      <c r="E30" s="33">
        <f>Model_Base!E30</f>
        <v/>
      </c>
      <c r="F30" s="33">
        <f>Model_Base!F30</f>
        <v/>
      </c>
      <c r="G30" s="33">
        <f>Model_Base!G30</f>
        <v/>
      </c>
      <c r="H30" s="33">
        <f>Model_Base!H30</f>
        <v/>
      </c>
      <c r="I30" s="33">
        <f>Model_Base!I30</f>
        <v/>
      </c>
      <c r="J30" s="33">
        <f>Model_Base!J30</f>
        <v/>
      </c>
      <c r="K30" s="33">
        <f>Model_Base!K30</f>
        <v/>
      </c>
      <c r="L30" s="33">
        <f>Model_Base!L30</f>
        <v/>
      </c>
      <c r="M30" s="33">
        <f>Model_Base!M30</f>
        <v/>
      </c>
      <c r="N30" s="33">
        <f>Model_Base!N30</f>
        <v/>
      </c>
      <c r="O30" s="33">
        <f>Model_Base!O30</f>
        <v/>
      </c>
      <c r="P30" s="33">
        <f>Model_Base!P30</f>
        <v/>
      </c>
      <c r="Q30" s="33">
        <f>Model_Base!Q30</f>
        <v/>
      </c>
      <c r="R30" s="33">
        <f>Model_Base!R30</f>
        <v/>
      </c>
      <c r="S30" s="33">
        <f>Model_Base!S30</f>
        <v/>
      </c>
      <c r="T30" s="33">
        <f>Model_Base!T30</f>
        <v/>
      </c>
      <c r="U30" s="33">
        <f>Model_Base!U30</f>
        <v/>
      </c>
      <c r="V30" s="33">
        <f>Model_Base!V30</f>
        <v/>
      </c>
      <c r="W30" s="33">
        <f>Model_Base!W30</f>
        <v/>
      </c>
      <c r="X30" s="33">
        <f>Model_Base!X30</f>
        <v/>
      </c>
      <c r="Y30" s="33">
        <f>Model_Base!Y30</f>
        <v/>
      </c>
      <c r="Z30" s="33">
        <f>Model_Base!Z30</f>
        <v/>
      </c>
      <c r="AA30" s="33">
        <f>Model_Base!AA30</f>
        <v/>
      </c>
      <c r="AB30" s="33">
        <f>Model_Base!AB30</f>
        <v/>
      </c>
      <c r="AC30" s="33">
        <f>Model_Base!AC30</f>
        <v/>
      </c>
      <c r="AD30" s="33">
        <f>Model_Base!AD30</f>
        <v/>
      </c>
      <c r="AE30" s="33">
        <f>Model_Base!AE30</f>
        <v/>
      </c>
      <c r="AF30" s="33">
        <f>Model_Base!AF30</f>
        <v/>
      </c>
      <c r="AG30" s="34">
        <f>Model_Base!AG30</f>
        <v/>
      </c>
      <c r="AH30" s="34">
        <f>Model_Base!AH30</f>
        <v/>
      </c>
      <c r="AI30" s="34">
        <f>Model_Base!AI30</f>
        <v/>
      </c>
      <c r="AJ30" s="34">
        <f>Model_Base!AJ30</f>
        <v/>
      </c>
      <c r="AK30" s="34">
        <f>Model_Base!AK30</f>
        <v/>
      </c>
      <c r="AL30" s="34">
        <f>Model_Base!AL30</f>
        <v/>
      </c>
    </row>
    <row r="31">
      <c r="A31" s="22" t="inlineStr">
        <is>
          <t>Sales &amp; marketing</t>
        </is>
      </c>
      <c r="C31" s="33">
        <f>Model_Base!C31</f>
        <v/>
      </c>
      <c r="D31" s="33">
        <f>Model_Base!D31</f>
        <v/>
      </c>
      <c r="E31" s="33">
        <f>Model_Base!E31</f>
        <v/>
      </c>
      <c r="F31" s="33">
        <f>Model_Base!F31</f>
        <v/>
      </c>
      <c r="G31" s="33">
        <f>Model_Base!G31</f>
        <v/>
      </c>
      <c r="H31" s="33">
        <f>Model_Base!H31</f>
        <v/>
      </c>
      <c r="I31" s="33">
        <f>Model_Base!I31</f>
        <v/>
      </c>
      <c r="J31" s="33">
        <f>Model_Base!J31</f>
        <v/>
      </c>
      <c r="K31" s="33">
        <f>Model_Base!K31</f>
        <v/>
      </c>
      <c r="L31" s="33">
        <f>Model_Base!L31</f>
        <v/>
      </c>
      <c r="M31" s="33">
        <f>Model_Base!M31</f>
        <v/>
      </c>
      <c r="N31" s="33">
        <f>Model_Base!N31</f>
        <v/>
      </c>
      <c r="O31" s="33">
        <f>Model_Base!O31</f>
        <v/>
      </c>
      <c r="P31" s="33">
        <f>Model_Base!P31</f>
        <v/>
      </c>
      <c r="Q31" s="33">
        <f>Model_Base!Q31</f>
        <v/>
      </c>
      <c r="R31" s="33">
        <f>Model_Base!R31</f>
        <v/>
      </c>
      <c r="S31" s="33">
        <f>Model_Base!S31</f>
        <v/>
      </c>
      <c r="T31" s="33">
        <f>Model_Base!T31</f>
        <v/>
      </c>
      <c r="U31" s="33">
        <f>Model_Base!U31</f>
        <v/>
      </c>
      <c r="V31" s="33">
        <f>Model_Base!V31</f>
        <v/>
      </c>
      <c r="W31" s="33">
        <f>Model_Base!W31</f>
        <v/>
      </c>
      <c r="X31" s="33">
        <f>Model_Base!X31</f>
        <v/>
      </c>
      <c r="Y31" s="33">
        <f>Model_Base!Y31</f>
        <v/>
      </c>
      <c r="Z31" s="33">
        <f>Model_Base!Z31</f>
        <v/>
      </c>
      <c r="AA31" s="33">
        <f>Model_Base!AA31</f>
        <v/>
      </c>
      <c r="AB31" s="33">
        <f>Model_Base!AB31</f>
        <v/>
      </c>
      <c r="AC31" s="33">
        <f>Model_Base!AC31</f>
        <v/>
      </c>
      <c r="AD31" s="33">
        <f>Model_Base!AD31</f>
        <v/>
      </c>
      <c r="AE31" s="33">
        <f>Model_Base!AE31</f>
        <v/>
      </c>
      <c r="AF31" s="33">
        <f>Model_Base!AF31</f>
        <v/>
      </c>
      <c r="AG31" s="24">
        <f>AG15*AG41</f>
        <v/>
      </c>
      <c r="AH31" s="24">
        <f>AH15*AH41</f>
        <v/>
      </c>
      <c r="AI31" s="24">
        <f>AI15*AI41</f>
        <v/>
      </c>
      <c r="AJ31" s="24">
        <f>AJ15*AJ41</f>
        <v/>
      </c>
      <c r="AK31" s="24">
        <f>AK15*AK41</f>
        <v/>
      </c>
      <c r="AL31" s="24">
        <f>AL15*AL41</f>
        <v/>
      </c>
    </row>
    <row r="32">
      <c r="A32" s="22" t="inlineStr">
        <is>
          <t>General &amp; administrative</t>
        </is>
      </c>
      <c r="C32" s="33">
        <f>Model_Base!C32</f>
        <v/>
      </c>
      <c r="D32" s="33">
        <f>Model_Base!D32</f>
        <v/>
      </c>
      <c r="E32" s="33">
        <f>Model_Base!E32</f>
        <v/>
      </c>
      <c r="F32" s="33">
        <f>Model_Base!F32</f>
        <v/>
      </c>
      <c r="G32" s="33">
        <f>Model_Base!G32</f>
        <v/>
      </c>
      <c r="H32" s="33">
        <f>Model_Base!H32</f>
        <v/>
      </c>
      <c r="I32" s="33">
        <f>Model_Base!I32</f>
        <v/>
      </c>
      <c r="J32" s="33">
        <f>Model_Base!J32</f>
        <v/>
      </c>
      <c r="K32" s="33">
        <f>Model_Base!K32</f>
        <v/>
      </c>
      <c r="L32" s="33">
        <f>Model_Base!L32</f>
        <v/>
      </c>
      <c r="M32" s="33">
        <f>Model_Base!M32</f>
        <v/>
      </c>
      <c r="N32" s="33">
        <f>Model_Base!N32</f>
        <v/>
      </c>
      <c r="O32" s="33">
        <f>Model_Base!O32</f>
        <v/>
      </c>
      <c r="P32" s="33">
        <f>Model_Base!P32</f>
        <v/>
      </c>
      <c r="Q32" s="33">
        <f>Model_Base!Q32</f>
        <v/>
      </c>
      <c r="R32" s="33">
        <f>Model_Base!R32</f>
        <v/>
      </c>
      <c r="S32" s="33">
        <f>Model_Base!S32</f>
        <v/>
      </c>
      <c r="T32" s="33">
        <f>Model_Base!T32</f>
        <v/>
      </c>
      <c r="U32" s="33">
        <f>Model_Base!U32</f>
        <v/>
      </c>
      <c r="V32" s="33">
        <f>Model_Base!V32</f>
        <v/>
      </c>
      <c r="W32" s="33">
        <f>Model_Base!W32</f>
        <v/>
      </c>
      <c r="X32" s="33">
        <f>Model_Base!X32</f>
        <v/>
      </c>
      <c r="Y32" s="33">
        <f>Model_Base!Y32</f>
        <v/>
      </c>
      <c r="Z32" s="33">
        <f>Model_Base!Z32</f>
        <v/>
      </c>
      <c r="AA32" s="33">
        <f>Model_Base!AA32</f>
        <v/>
      </c>
      <c r="AB32" s="33">
        <f>Model_Base!AB32</f>
        <v/>
      </c>
      <c r="AC32" s="33">
        <f>Model_Base!AC32</f>
        <v/>
      </c>
      <c r="AD32" s="33">
        <f>Model_Base!AD32</f>
        <v/>
      </c>
      <c r="AE32" s="33">
        <f>Model_Base!AE32</f>
        <v/>
      </c>
      <c r="AF32" s="33">
        <f>Model_Base!AF32</f>
        <v/>
      </c>
      <c r="AG32" s="34">
        <f>Model_Base!AG32</f>
        <v/>
      </c>
      <c r="AH32" s="34">
        <f>Model_Base!AH32</f>
        <v/>
      </c>
      <c r="AI32" s="34">
        <f>Model_Base!AI32</f>
        <v/>
      </c>
      <c r="AJ32" s="34">
        <f>Model_Base!AJ32</f>
        <v/>
      </c>
      <c r="AK32" s="34">
        <f>Model_Base!AK32</f>
        <v/>
      </c>
      <c r="AL32" s="34">
        <f>Model_Base!AL32</f>
        <v/>
      </c>
    </row>
    <row r="33">
      <c r="A33" s="22" t="inlineStr">
        <is>
          <t>European Commission fines</t>
        </is>
      </c>
      <c r="C33" s="33">
        <f>Model_Base!C33</f>
        <v/>
      </c>
      <c r="D33" s="33">
        <f>Model_Base!D33</f>
        <v/>
      </c>
      <c r="E33" s="33">
        <f>Model_Base!E33</f>
        <v/>
      </c>
      <c r="F33" s="33">
        <f>Model_Base!F33</f>
        <v/>
      </c>
      <c r="G33" s="33">
        <f>Model_Base!G33</f>
        <v/>
      </c>
      <c r="H33" s="33">
        <f>Model_Base!H33</f>
        <v/>
      </c>
      <c r="I33" s="33">
        <f>Model_Base!I33</f>
        <v/>
      </c>
      <c r="J33" s="33">
        <f>Model_Base!J33</f>
        <v/>
      </c>
      <c r="K33" s="33">
        <f>Model_Base!K33</f>
        <v/>
      </c>
      <c r="L33" s="33">
        <f>Model_Base!L33</f>
        <v/>
      </c>
      <c r="M33" s="33">
        <f>Model_Base!M33</f>
        <v/>
      </c>
      <c r="N33" s="33">
        <f>Model_Base!N33</f>
        <v/>
      </c>
      <c r="O33" s="33">
        <f>Model_Base!O33</f>
        <v/>
      </c>
      <c r="P33" s="33">
        <f>Model_Base!P33</f>
        <v/>
      </c>
      <c r="Q33" s="33">
        <f>Model_Base!Q33</f>
        <v/>
      </c>
      <c r="R33" s="33">
        <f>Model_Base!R33</f>
        <v/>
      </c>
      <c r="S33" s="33">
        <f>Model_Base!S33</f>
        <v/>
      </c>
      <c r="T33" s="33">
        <f>Model_Base!T33</f>
        <v/>
      </c>
      <c r="U33" s="33">
        <f>Model_Base!U33</f>
        <v/>
      </c>
      <c r="V33" s="33">
        <f>Model_Base!V33</f>
        <v/>
      </c>
      <c r="W33" s="33">
        <f>Model_Base!W33</f>
        <v/>
      </c>
      <c r="X33" s="33">
        <f>Model_Base!X33</f>
        <v/>
      </c>
      <c r="Y33" s="33">
        <f>Model_Base!Y33</f>
        <v/>
      </c>
      <c r="Z33" s="33">
        <f>Model_Base!Z33</f>
        <v/>
      </c>
      <c r="AA33" s="33">
        <f>Model_Base!AA33</f>
        <v/>
      </c>
      <c r="AB33" s="33">
        <f>Model_Base!AB33</f>
        <v/>
      </c>
      <c r="AC33" s="33">
        <f>Model_Base!AC33</f>
        <v/>
      </c>
      <c r="AD33" s="33">
        <f>Model_Base!AD33</f>
        <v/>
      </c>
      <c r="AE33" s="33">
        <f>Model_Base!AE33</f>
        <v/>
      </c>
      <c r="AF33" s="33">
        <f>Model_Base!AF33</f>
        <v/>
      </c>
      <c r="AG33" s="24" t="n">
        <v>0</v>
      </c>
      <c r="AH33" s="24" t="n">
        <v>0</v>
      </c>
      <c r="AI33" s="24" t="n">
        <v>0</v>
      </c>
      <c r="AJ33" s="24" t="n">
        <v>0</v>
      </c>
      <c r="AK33" s="24" t="n">
        <v>0</v>
      </c>
      <c r="AL33" s="24" t="n">
        <v>0</v>
      </c>
    </row>
    <row r="34">
      <c r="A34" s="6" t="inlineStr">
        <is>
          <t>Total operating expenses (R&amp;D + S&amp;M + G&amp;A + fines)</t>
        </is>
      </c>
      <c r="C34" s="31">
        <f>C30+C31+C32+C33</f>
        <v/>
      </c>
      <c r="D34" s="31">
        <f>D30+D31+D32+D33</f>
        <v/>
      </c>
      <c r="E34" s="31">
        <f>E30+E31+E32+E33</f>
        <v/>
      </c>
      <c r="F34" s="31">
        <f>F30+F31+F32+F33</f>
        <v/>
      </c>
      <c r="G34" s="31">
        <f>G30+G31+G32+G33</f>
        <v/>
      </c>
      <c r="H34" s="31">
        <f>H30+H31+H32+H33</f>
        <v/>
      </c>
      <c r="I34" s="31">
        <f>I30+I31+I32+I33</f>
        <v/>
      </c>
      <c r="J34" s="31">
        <f>J30+J31+J32+J33</f>
        <v/>
      </c>
      <c r="K34" s="31">
        <f>K30+K31+K32+K33</f>
        <v/>
      </c>
      <c r="L34" s="31">
        <f>L30+L31+L32+L33</f>
        <v/>
      </c>
      <c r="M34" s="31">
        <f>M30+M31+M32+M33</f>
        <v/>
      </c>
      <c r="N34" s="31">
        <f>N30+N31+N32+N33</f>
        <v/>
      </c>
      <c r="O34" s="31">
        <f>O30+O31+O32+O33</f>
        <v/>
      </c>
      <c r="P34" s="31">
        <f>P30+P31+P32+P33</f>
        <v/>
      </c>
      <c r="Q34" s="31">
        <f>Q30+Q31+Q32+Q33</f>
        <v/>
      </c>
      <c r="R34" s="31">
        <f>R30+R31+R32+R33</f>
        <v/>
      </c>
      <c r="S34" s="31">
        <f>S30+S31+S32+S33</f>
        <v/>
      </c>
      <c r="T34" s="31">
        <f>T30+T31+T32+T33</f>
        <v/>
      </c>
      <c r="U34" s="31">
        <f>U30+U31+U32+U33</f>
        <v/>
      </c>
      <c r="V34" s="31">
        <f>V30+V31+V32+V33</f>
        <v/>
      </c>
      <c r="W34" s="31">
        <f>W30+W31+W32+W33</f>
        <v/>
      </c>
      <c r="X34" s="31">
        <f>X30+X31+X32+X33</f>
        <v/>
      </c>
      <c r="Y34" s="31">
        <f>Y30+Y31+Y32+Y33</f>
        <v/>
      </c>
      <c r="Z34" s="31">
        <f>Z30+Z31+Z32+Z33</f>
        <v/>
      </c>
      <c r="AA34" s="31">
        <f>AA30+AA31+AA32+AA33</f>
        <v/>
      </c>
      <c r="AB34" s="31">
        <f>AB30+AB31+AB32+AB33</f>
        <v/>
      </c>
      <c r="AC34" s="31">
        <f>AC30+AC31+AC32+AC33</f>
        <v/>
      </c>
      <c r="AD34" s="31">
        <f>AD30+AD31+AD32+AD33</f>
        <v/>
      </c>
      <c r="AE34" s="31">
        <f>AE30+AE31+AE32+AE33</f>
        <v/>
      </c>
      <c r="AF34" s="31">
        <f>AF30+AF31+AF32+AF33</f>
        <v/>
      </c>
      <c r="AG34" s="32">
        <f>AG30+AG31+AG32+AG33</f>
        <v/>
      </c>
      <c r="AH34" s="32">
        <f>AH30+AH31+AH32+AH33</f>
        <v/>
      </c>
      <c r="AI34" s="32">
        <f>AI30+AI31+AI32+AI33</f>
        <v/>
      </c>
      <c r="AJ34" s="32">
        <f>AJ30+AJ31+AJ32+AJ33</f>
        <v/>
      </c>
      <c r="AK34" s="32">
        <f>AK30+AK31+AK32+AK33</f>
        <v/>
      </c>
      <c r="AL34" s="32">
        <f>AL30+AL31+AL32+AL33</f>
        <v/>
      </c>
    </row>
    <row r="35">
      <c r="A35" s="6" t="inlineStr">
        <is>
          <t>Operating income</t>
        </is>
      </c>
      <c r="C35" s="25">
        <f>C28-C34</f>
        <v/>
      </c>
      <c r="D35" s="25">
        <f>D28-D34</f>
        <v/>
      </c>
      <c r="E35" s="25">
        <f>E28-E34</f>
        <v/>
      </c>
      <c r="F35" s="25">
        <f>F28-F34</f>
        <v/>
      </c>
      <c r="G35" s="25">
        <f>G28-G34</f>
        <v/>
      </c>
      <c r="H35" s="25">
        <f>H28-H34</f>
        <v/>
      </c>
      <c r="I35" s="25">
        <f>I28-I34</f>
        <v/>
      </c>
      <c r="J35" s="25">
        <f>J28-J34</f>
        <v/>
      </c>
      <c r="K35" s="25">
        <f>K28-K34</f>
        <v/>
      </c>
      <c r="L35" s="25">
        <f>L28-L34</f>
        <v/>
      </c>
      <c r="M35" s="25">
        <f>M28-M34</f>
        <v/>
      </c>
      <c r="N35" s="25">
        <f>N28-N34</f>
        <v/>
      </c>
      <c r="O35" s="25">
        <f>O28-O34</f>
        <v/>
      </c>
      <c r="P35" s="25">
        <f>P28-P34</f>
        <v/>
      </c>
      <c r="Q35" s="25">
        <f>Q28-Q34</f>
        <v/>
      </c>
      <c r="R35" s="25">
        <f>R28-R34</f>
        <v/>
      </c>
      <c r="S35" s="25">
        <f>S28-S34</f>
        <v/>
      </c>
      <c r="T35" s="25">
        <f>T28-T34</f>
        <v/>
      </c>
      <c r="U35" s="25">
        <f>U28-U34</f>
        <v/>
      </c>
      <c r="V35" s="25">
        <f>V28-V34</f>
        <v/>
      </c>
      <c r="W35" s="25">
        <f>W28-W34</f>
        <v/>
      </c>
      <c r="X35" s="25">
        <f>X28-X34</f>
        <v/>
      </c>
      <c r="Y35" s="25">
        <f>Y28-Y34</f>
        <v/>
      </c>
      <c r="Z35" s="25">
        <f>Z28-Z34</f>
        <v/>
      </c>
      <c r="AA35" s="25">
        <f>AA28-AA34</f>
        <v/>
      </c>
      <c r="AB35" s="25">
        <f>AB28-AB34</f>
        <v/>
      </c>
      <c r="AC35" s="25">
        <f>AC28-AC34</f>
        <v/>
      </c>
      <c r="AD35" s="25">
        <f>AD28-AD34</f>
        <v/>
      </c>
      <c r="AE35" s="25">
        <f>AE28-AE34</f>
        <v/>
      </c>
      <c r="AF35" s="25">
        <f>AF28-AF34</f>
        <v/>
      </c>
      <c r="AG35" s="26">
        <f>AG28-AG34</f>
        <v/>
      </c>
      <c r="AH35" s="26">
        <f>AH28-AH34</f>
        <v/>
      </c>
      <c r="AI35" s="26">
        <f>AI28-AI34</f>
        <v/>
      </c>
      <c r="AJ35" s="26">
        <f>AJ28-AJ34</f>
        <v/>
      </c>
      <c r="AK35" s="26">
        <f>AK28-AK34</f>
        <v/>
      </c>
      <c r="AL35" s="26">
        <f>AL28-AL34</f>
        <v/>
      </c>
    </row>
    <row r="36">
      <c r="A36" s="4" t="inlineStr">
        <is>
          <t xml:space="preserve">  Operating margin</t>
        </is>
      </c>
      <c r="C36" s="27">
        <f>C35/C15</f>
        <v/>
      </c>
      <c r="D36" s="27">
        <f>D35/D15</f>
        <v/>
      </c>
      <c r="E36" s="27">
        <f>E35/E15</f>
        <v/>
      </c>
      <c r="F36" s="27">
        <f>F35/F15</f>
        <v/>
      </c>
      <c r="G36" s="27">
        <f>G35/G15</f>
        <v/>
      </c>
      <c r="H36" s="27">
        <f>H35/H15</f>
        <v/>
      </c>
      <c r="I36" s="27">
        <f>I35/I15</f>
        <v/>
      </c>
      <c r="J36" s="27">
        <f>J35/J15</f>
        <v/>
      </c>
      <c r="K36" s="27">
        <f>K35/K15</f>
        <v/>
      </c>
      <c r="L36" s="27">
        <f>L35/L15</f>
        <v/>
      </c>
      <c r="M36" s="27">
        <f>M35/M15</f>
        <v/>
      </c>
      <c r="N36" s="27">
        <f>N35/N15</f>
        <v/>
      </c>
      <c r="O36" s="27">
        <f>O35/O15</f>
        <v/>
      </c>
      <c r="P36" s="27">
        <f>P35/P15</f>
        <v/>
      </c>
      <c r="Q36" s="27">
        <f>Q35/Q15</f>
        <v/>
      </c>
      <c r="R36" s="27">
        <f>R35/R15</f>
        <v/>
      </c>
      <c r="S36" s="27">
        <f>S35/S15</f>
        <v/>
      </c>
      <c r="T36" s="27">
        <f>T35/T15</f>
        <v/>
      </c>
      <c r="U36" s="27">
        <f>U35/U15</f>
        <v/>
      </c>
      <c r="V36" s="27">
        <f>V35/V15</f>
        <v/>
      </c>
      <c r="W36" s="27">
        <f>W35/W15</f>
        <v/>
      </c>
      <c r="X36" s="27">
        <f>X35/X15</f>
        <v/>
      </c>
      <c r="Y36" s="27">
        <f>Y35/Y15</f>
        <v/>
      </c>
      <c r="Z36" s="27">
        <f>Z35/Z15</f>
        <v/>
      </c>
      <c r="AA36" s="27">
        <f>AA35/AA15</f>
        <v/>
      </c>
      <c r="AB36" s="27">
        <f>AB35/AB15</f>
        <v/>
      </c>
      <c r="AC36" s="27">
        <f>AC35/AC15</f>
        <v/>
      </c>
      <c r="AD36" s="27">
        <f>AD35/AD15</f>
        <v/>
      </c>
      <c r="AE36" s="27">
        <f>AE35/AE15</f>
        <v/>
      </c>
      <c r="AF36" s="27">
        <f>AF35/AF15</f>
        <v/>
      </c>
      <c r="AG36" s="28">
        <f>AG35/AG15</f>
        <v/>
      </c>
      <c r="AH36" s="28">
        <f>AH35/AH15</f>
        <v/>
      </c>
      <c r="AI36" s="28">
        <f>AI35/AI15</f>
        <v/>
      </c>
      <c r="AJ36" s="28">
        <f>AJ35/AJ15</f>
        <v/>
      </c>
      <c r="AK36" s="28">
        <f>AK35/AK15</f>
        <v/>
      </c>
      <c r="AL36" s="28">
        <f>AL35/AL15</f>
        <v/>
      </c>
    </row>
    <row r="38">
      <c r="A38" s="6" t="inlineStr">
        <is>
          <t>COST RATIOS (% of revenue; forecast = trailing 4-quarter average)</t>
        </is>
      </c>
    </row>
    <row r="39">
      <c r="A39" s="22" t="inlineStr">
        <is>
          <t>Cost of revenues</t>
        </is>
      </c>
      <c r="C39" s="27">
        <f>C27/C15</f>
        <v/>
      </c>
      <c r="D39" s="27">
        <f>D27/D15</f>
        <v/>
      </c>
      <c r="E39" s="27">
        <f>E27/E15</f>
        <v/>
      </c>
      <c r="F39" s="27">
        <f>F27/F15</f>
        <v/>
      </c>
      <c r="G39" s="27">
        <f>G27/G15</f>
        <v/>
      </c>
      <c r="H39" s="27">
        <f>H27/H15</f>
        <v/>
      </c>
      <c r="I39" s="27">
        <f>I27/I15</f>
        <v/>
      </c>
      <c r="J39" s="27">
        <f>J27/J15</f>
        <v/>
      </c>
      <c r="K39" s="27">
        <f>K27/K15</f>
        <v/>
      </c>
      <c r="L39" s="27">
        <f>L27/L15</f>
        <v/>
      </c>
      <c r="M39" s="27">
        <f>M27/M15</f>
        <v/>
      </c>
      <c r="N39" s="27">
        <f>N27/N15</f>
        <v/>
      </c>
      <c r="O39" s="27">
        <f>O27/O15</f>
        <v/>
      </c>
      <c r="P39" s="27">
        <f>P27/P15</f>
        <v/>
      </c>
      <c r="Q39" s="27">
        <f>Q27/Q15</f>
        <v/>
      </c>
      <c r="R39" s="27">
        <f>R27/R15</f>
        <v/>
      </c>
      <c r="S39" s="27">
        <f>S27/S15</f>
        <v/>
      </c>
      <c r="T39" s="27">
        <f>T27/T15</f>
        <v/>
      </c>
      <c r="U39" s="27">
        <f>U27/U15</f>
        <v/>
      </c>
      <c r="V39" s="27">
        <f>V27/V15</f>
        <v/>
      </c>
      <c r="W39" s="27">
        <f>W27/W15</f>
        <v/>
      </c>
      <c r="X39" s="27">
        <f>X27/X15</f>
        <v/>
      </c>
      <c r="Y39" s="27">
        <f>Y27/Y15</f>
        <v/>
      </c>
      <c r="Z39" s="27">
        <f>Z27/Z15</f>
        <v/>
      </c>
      <c r="AA39" s="27">
        <f>AA27/AA15</f>
        <v/>
      </c>
      <c r="AB39" s="27">
        <f>AB27/AB15</f>
        <v/>
      </c>
      <c r="AC39" s="27">
        <f>AC27/AC15</f>
        <v/>
      </c>
      <c r="AD39" s="27">
        <f>AD27/AD15</f>
        <v/>
      </c>
      <c r="AE39" s="27">
        <f>AE27/AE15</f>
        <v/>
      </c>
      <c r="AF39" s="27">
        <f>AF27/AF15</f>
        <v/>
      </c>
      <c r="AG39" s="28">
        <f>AVERAGE(AC39:AF39)</f>
        <v/>
      </c>
      <c r="AH39" s="28">
        <f>AVERAGE(AD39:AG39)</f>
        <v/>
      </c>
      <c r="AI39" s="28">
        <f>AVERAGE(AE39:AH39)</f>
        <v/>
      </c>
      <c r="AJ39" s="28">
        <f>AVERAGE(AF39:AI39)</f>
        <v/>
      </c>
      <c r="AK39" s="28">
        <f>AVERAGE(AG39:AJ39)</f>
        <v/>
      </c>
      <c r="AL39" s="28">
        <f>AVERAGE(AH39:AK39)</f>
        <v/>
      </c>
    </row>
    <row r="40">
      <c r="A40" s="22" t="inlineStr">
        <is>
          <t>R&amp;D</t>
        </is>
      </c>
      <c r="C40" s="27">
        <f>C30/C15</f>
        <v/>
      </c>
      <c r="D40" s="27">
        <f>D30/D15</f>
        <v/>
      </c>
      <c r="E40" s="27">
        <f>E30/E15</f>
        <v/>
      </c>
      <c r="F40" s="27">
        <f>F30/F15</f>
        <v/>
      </c>
      <c r="G40" s="27">
        <f>G30/G15</f>
        <v/>
      </c>
      <c r="H40" s="27">
        <f>H30/H15</f>
        <v/>
      </c>
      <c r="I40" s="27">
        <f>I30/I15</f>
        <v/>
      </c>
      <c r="J40" s="27">
        <f>J30/J15</f>
        <v/>
      </c>
      <c r="K40" s="27">
        <f>K30/K15</f>
        <v/>
      </c>
      <c r="L40" s="27">
        <f>L30/L15</f>
        <v/>
      </c>
      <c r="M40" s="27">
        <f>M30/M15</f>
        <v/>
      </c>
      <c r="N40" s="27">
        <f>N30/N15</f>
        <v/>
      </c>
      <c r="O40" s="27">
        <f>O30/O15</f>
        <v/>
      </c>
      <c r="P40" s="27">
        <f>P30/P15</f>
        <v/>
      </c>
      <c r="Q40" s="27">
        <f>Q30/Q15</f>
        <v/>
      </c>
      <c r="R40" s="27">
        <f>R30/R15</f>
        <v/>
      </c>
      <c r="S40" s="27">
        <f>S30/S15</f>
        <v/>
      </c>
      <c r="T40" s="27">
        <f>T30/T15</f>
        <v/>
      </c>
      <c r="U40" s="27">
        <f>U30/U15</f>
        <v/>
      </c>
      <c r="V40" s="27">
        <f>V30/V15</f>
        <v/>
      </c>
      <c r="W40" s="27">
        <f>W30/W15</f>
        <v/>
      </c>
      <c r="X40" s="27">
        <f>X30/X15</f>
        <v/>
      </c>
      <c r="Y40" s="27">
        <f>Y30/Y15</f>
        <v/>
      </c>
      <c r="Z40" s="27">
        <f>Z30/Z15</f>
        <v/>
      </c>
      <c r="AA40" s="27">
        <f>AA30/AA15</f>
        <v/>
      </c>
      <c r="AB40" s="27">
        <f>AB30/AB15</f>
        <v/>
      </c>
      <c r="AC40" s="27">
        <f>AC30/AC15</f>
        <v/>
      </c>
      <c r="AD40" s="27">
        <f>AD30/AD15</f>
        <v/>
      </c>
      <c r="AE40" s="27">
        <f>AE30/AE15</f>
        <v/>
      </c>
      <c r="AF40" s="27">
        <f>AF30/AF15</f>
        <v/>
      </c>
      <c r="AG40" s="28">
        <f>AVERAGE(AC40:AF40)</f>
        <v/>
      </c>
      <c r="AH40" s="28">
        <f>AVERAGE(AD40:AG40)</f>
        <v/>
      </c>
      <c r="AI40" s="28">
        <f>AVERAGE(AE40:AH40)</f>
        <v/>
      </c>
      <c r="AJ40" s="28">
        <f>AVERAGE(AF40:AI40)</f>
        <v/>
      </c>
      <c r="AK40" s="28">
        <f>AVERAGE(AG40:AJ40)</f>
        <v/>
      </c>
      <c r="AL40" s="28">
        <f>AVERAGE(AH40:AK40)</f>
        <v/>
      </c>
    </row>
    <row r="41">
      <c r="A41" s="22" t="inlineStr">
        <is>
          <t>Sales &amp; marketing</t>
        </is>
      </c>
      <c r="C41" s="27">
        <f>C31/C15</f>
        <v/>
      </c>
      <c r="D41" s="27">
        <f>D31/D15</f>
        <v/>
      </c>
      <c r="E41" s="27">
        <f>E31/E15</f>
        <v/>
      </c>
      <c r="F41" s="27">
        <f>F31/F15</f>
        <v/>
      </c>
      <c r="G41" s="27">
        <f>G31/G15</f>
        <v/>
      </c>
      <c r="H41" s="27">
        <f>H31/H15</f>
        <v/>
      </c>
      <c r="I41" s="27">
        <f>I31/I15</f>
        <v/>
      </c>
      <c r="J41" s="27">
        <f>J31/J15</f>
        <v/>
      </c>
      <c r="K41" s="27">
        <f>K31/K15</f>
        <v/>
      </c>
      <c r="L41" s="27">
        <f>L31/L15</f>
        <v/>
      </c>
      <c r="M41" s="27">
        <f>M31/M15</f>
        <v/>
      </c>
      <c r="N41" s="27">
        <f>N31/N15</f>
        <v/>
      </c>
      <c r="O41" s="27">
        <f>O31/O15</f>
        <v/>
      </c>
      <c r="P41" s="27">
        <f>P31/P15</f>
        <v/>
      </c>
      <c r="Q41" s="27">
        <f>Q31/Q15</f>
        <v/>
      </c>
      <c r="R41" s="27">
        <f>R31/R15</f>
        <v/>
      </c>
      <c r="S41" s="27">
        <f>S31/S15</f>
        <v/>
      </c>
      <c r="T41" s="27">
        <f>T31/T15</f>
        <v/>
      </c>
      <c r="U41" s="27">
        <f>U31/U15</f>
        <v/>
      </c>
      <c r="V41" s="27">
        <f>V31/V15</f>
        <v/>
      </c>
      <c r="W41" s="27">
        <f>W31/W15</f>
        <v/>
      </c>
      <c r="X41" s="27">
        <f>X31/X15</f>
        <v/>
      </c>
      <c r="Y41" s="27">
        <f>Y31/Y15</f>
        <v/>
      </c>
      <c r="Z41" s="27">
        <f>Z31/Z15</f>
        <v/>
      </c>
      <c r="AA41" s="27">
        <f>AA31/AA15</f>
        <v/>
      </c>
      <c r="AB41" s="27">
        <f>AB31/AB15</f>
        <v/>
      </c>
      <c r="AC41" s="27">
        <f>AC31/AC15</f>
        <v/>
      </c>
      <c r="AD41" s="27">
        <f>AD31/AD15</f>
        <v/>
      </c>
      <c r="AE41" s="27">
        <f>AE31/AE15</f>
        <v/>
      </c>
      <c r="AF41" s="27">
        <f>AF31/AF15</f>
        <v/>
      </c>
      <c r="AG41" s="28">
        <f>AVERAGE(AC41:AF41)</f>
        <v/>
      </c>
      <c r="AH41" s="28">
        <f>AVERAGE(AD41:AG41)</f>
        <v/>
      </c>
      <c r="AI41" s="28">
        <f>AVERAGE(AE41:AH41)</f>
        <v/>
      </c>
      <c r="AJ41" s="28">
        <f>AVERAGE(AF41:AI41)</f>
        <v/>
      </c>
      <c r="AK41" s="28">
        <f>AVERAGE(AG41:AJ41)</f>
        <v/>
      </c>
      <c r="AL41" s="28">
        <f>AVERAGE(AH41:AK41)</f>
        <v/>
      </c>
    </row>
    <row r="42">
      <c r="A42" s="22" t="inlineStr">
        <is>
          <t>G&amp;A</t>
        </is>
      </c>
      <c r="C42" s="27">
        <f>C32/C15</f>
        <v/>
      </c>
      <c r="D42" s="27">
        <f>D32/D15</f>
        <v/>
      </c>
      <c r="E42" s="27">
        <f>E32/E15</f>
        <v/>
      </c>
      <c r="F42" s="27">
        <f>F32/F15</f>
        <v/>
      </c>
      <c r="G42" s="27">
        <f>G32/G15</f>
        <v/>
      </c>
      <c r="H42" s="27">
        <f>H32/H15</f>
        <v/>
      </c>
      <c r="I42" s="27">
        <f>I32/I15</f>
        <v/>
      </c>
      <c r="J42" s="27">
        <f>J32/J15</f>
        <v/>
      </c>
      <c r="K42" s="27">
        <f>K32/K15</f>
        <v/>
      </c>
      <c r="L42" s="27">
        <f>L32/L15</f>
        <v/>
      </c>
      <c r="M42" s="27">
        <f>M32/M15</f>
        <v/>
      </c>
      <c r="N42" s="27">
        <f>N32/N15</f>
        <v/>
      </c>
      <c r="O42" s="27">
        <f>O32/O15</f>
        <v/>
      </c>
      <c r="P42" s="27">
        <f>P32/P15</f>
        <v/>
      </c>
      <c r="Q42" s="27">
        <f>Q32/Q15</f>
        <v/>
      </c>
      <c r="R42" s="27">
        <f>R32/R15</f>
        <v/>
      </c>
      <c r="S42" s="27">
        <f>S32/S15</f>
        <v/>
      </c>
      <c r="T42" s="27">
        <f>T32/T15</f>
        <v/>
      </c>
      <c r="U42" s="27">
        <f>U32/U15</f>
        <v/>
      </c>
      <c r="V42" s="27">
        <f>V32/V15</f>
        <v/>
      </c>
      <c r="W42" s="27">
        <f>W32/W15</f>
        <v/>
      </c>
      <c r="X42" s="27">
        <f>X32/X15</f>
        <v/>
      </c>
      <c r="Y42" s="27">
        <f>Y32/Y15</f>
        <v/>
      </c>
      <c r="Z42" s="27">
        <f>Z32/Z15</f>
        <v/>
      </c>
      <c r="AA42" s="27">
        <f>AA32/AA15</f>
        <v/>
      </c>
      <c r="AB42" s="27">
        <f>AB32/AB15</f>
        <v/>
      </c>
      <c r="AC42" s="27">
        <f>AC32/AC15</f>
        <v/>
      </c>
      <c r="AD42" s="27">
        <f>AD32/AD15</f>
        <v/>
      </c>
      <c r="AE42" s="27">
        <f>AE32/AE15</f>
        <v/>
      </c>
      <c r="AF42" s="27">
        <f>AF32/AF15</f>
        <v/>
      </c>
      <c r="AG42" s="28">
        <f>AVERAGE(AC42:AF42)</f>
        <v/>
      </c>
      <c r="AH42" s="28">
        <f>AVERAGE(AD42:AG42)</f>
        <v/>
      </c>
      <c r="AI42" s="28">
        <f>AVERAGE(AE42:AH42)</f>
        <v/>
      </c>
      <c r="AJ42" s="28">
        <f>AVERAGE(AF42:AI42)</f>
        <v/>
      </c>
      <c r="AK42" s="28">
        <f>AVERAGE(AG42:AJ42)</f>
        <v/>
      </c>
      <c r="AL42" s="28">
        <f>AVERAGE(AH42:AK42)</f>
        <v/>
      </c>
    </row>
    <row r="44">
      <c r="A44" s="6" t="inlineStr">
        <is>
          <t>GROWTH ASSUMPTIONS = latest actual YoY x fade^k + scenario delta</t>
        </is>
      </c>
    </row>
    <row r="45">
      <c r="A45" s="22" t="inlineStr">
        <is>
          <t>Search &amp; other</t>
        </is>
      </c>
      <c r="AG45" s="28">
        <f>$AF18*Assumptions!$C$4^AG$6+Assumptions!$C$9</f>
        <v/>
      </c>
      <c r="AH45" s="28">
        <f>$AF18*Assumptions!$C$4^AH$6+Assumptions!$C$9</f>
        <v/>
      </c>
      <c r="AI45" s="28">
        <f>$AF18*Assumptions!$C$4^AI$6+Assumptions!$C$9</f>
        <v/>
      </c>
      <c r="AJ45" s="28">
        <f>$AF18*Assumptions!$C$4^AJ$6+Assumptions!$C$9</f>
        <v/>
      </c>
      <c r="AK45" s="28">
        <f>$AF18*Assumptions!$C$4^AK$6+Assumptions!$C$9</f>
        <v/>
      </c>
      <c r="AL45" s="28">
        <f>$AF18*Assumptions!$C$4^AL$6+Assumptions!$C$9</f>
        <v/>
      </c>
    </row>
    <row r="46">
      <c r="A46" s="22" t="inlineStr">
        <is>
          <t>YouTube ads</t>
        </is>
      </c>
      <c r="AG46" s="28">
        <f>$AF19*Assumptions!$C$4^AG$6+Assumptions!$C$10</f>
        <v/>
      </c>
      <c r="AH46" s="28">
        <f>$AF19*Assumptions!$C$4^AH$6+Assumptions!$C$10</f>
        <v/>
      </c>
      <c r="AI46" s="28">
        <f>$AF19*Assumptions!$C$4^AI$6+Assumptions!$C$10</f>
        <v/>
      </c>
      <c r="AJ46" s="28">
        <f>$AF19*Assumptions!$C$4^AJ$6+Assumptions!$C$10</f>
        <v/>
      </c>
      <c r="AK46" s="28">
        <f>$AF19*Assumptions!$C$4^AK$6+Assumptions!$C$10</f>
        <v/>
      </c>
      <c r="AL46" s="28">
        <f>$AF19*Assumptions!$C$4^AL$6+Assumptions!$C$10</f>
        <v/>
      </c>
    </row>
    <row r="47">
      <c r="A47" s="22" t="inlineStr">
        <is>
          <t>Network</t>
        </is>
      </c>
      <c r="AG47" s="28">
        <f>$AF20*Assumptions!$C$4^AG$6+Assumptions!$C$11</f>
        <v/>
      </c>
      <c r="AH47" s="28">
        <f>$AF20*Assumptions!$C$4^AH$6+Assumptions!$C$11</f>
        <v/>
      </c>
      <c r="AI47" s="28">
        <f>$AF20*Assumptions!$C$4^AI$6+Assumptions!$C$11</f>
        <v/>
      </c>
      <c r="AJ47" s="28">
        <f>$AF20*Assumptions!$C$4^AJ$6+Assumptions!$C$11</f>
        <v/>
      </c>
      <c r="AK47" s="28">
        <f>$AF20*Assumptions!$C$4^AK$6+Assumptions!$C$11</f>
        <v/>
      </c>
      <c r="AL47" s="28">
        <f>$AF20*Assumptions!$C$4^AL$6+Assumptions!$C$11</f>
        <v/>
      </c>
    </row>
    <row r="48">
      <c r="A48" s="22" t="inlineStr">
        <is>
          <t>Subscriptions, platforms &amp; devices</t>
        </is>
      </c>
      <c r="AG48" s="28">
        <f>$AF21*Assumptions!$C$4^AG$6+Assumptions!$C$12</f>
        <v/>
      </c>
      <c r="AH48" s="28">
        <f>$AF21*Assumptions!$C$4^AH$6+Assumptions!$C$12</f>
        <v/>
      </c>
      <c r="AI48" s="28">
        <f>$AF21*Assumptions!$C$4^AI$6+Assumptions!$C$12</f>
        <v/>
      </c>
      <c r="AJ48" s="28">
        <f>$AF21*Assumptions!$C$4^AJ$6+Assumptions!$C$12</f>
        <v/>
      </c>
      <c r="AK48" s="28">
        <f>$AF21*Assumptions!$C$4^AK$6+Assumptions!$C$12</f>
        <v/>
      </c>
      <c r="AL48" s="28">
        <f>$AF21*Assumptions!$C$4^AL$6+Assumptions!$C$12</f>
        <v/>
      </c>
    </row>
    <row r="49">
      <c r="A49" s="22" t="inlineStr">
        <is>
          <t>Google Cloud</t>
        </is>
      </c>
      <c r="AG49" s="28">
        <f>$AF22*Assumptions!$C$4^AG$6+Assumptions!$C$13</f>
        <v/>
      </c>
      <c r="AH49" s="28">
        <f>$AF22*Assumptions!$C$4^AH$6+Assumptions!$C$13</f>
        <v/>
      </c>
      <c r="AI49" s="28">
        <f>$AF22*Assumptions!$C$4^AI$6+Assumptions!$C$13</f>
        <v/>
      </c>
      <c r="AJ49" s="28">
        <f>$AF22*Assumptions!$C$4^AJ$6+Assumptions!$C$13</f>
        <v/>
      </c>
      <c r="AK49" s="28">
        <f>$AF22*Assumptions!$C$4^AK$6+Assumptions!$C$13</f>
        <v/>
      </c>
      <c r="AL49" s="28">
        <f>$AF22*Assumptions!$C$4^AL$6+Assumptions!$C$13</f>
        <v/>
      </c>
    </row>
    <row r="50">
      <c r="A50" s="22" t="inlineStr">
        <is>
          <t>Other Bets</t>
        </is>
      </c>
      <c r="AG50" s="28">
        <f>$AF23*Assumptions!$C$4^AG$6+Assumptions!$C$14</f>
        <v/>
      </c>
      <c r="AH50" s="28">
        <f>$AF23*Assumptions!$C$4^AH$6+Assumptions!$C$14</f>
        <v/>
      </c>
      <c r="AI50" s="28">
        <f>$AF23*Assumptions!$C$4^AI$6+Assumptions!$C$14</f>
        <v/>
      </c>
      <c r="AJ50" s="28">
        <f>$AF23*Assumptions!$C$4^AJ$6+Assumptions!$C$14</f>
        <v/>
      </c>
      <c r="AK50" s="28">
        <f>$AF23*Assumptions!$C$4^AK$6+Assumptions!$C$14</f>
        <v/>
      </c>
      <c r="AL50" s="28">
        <f>$AF23*Assumptions!$C$4^AL$6+Assumptions!$C$14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Seasonality: each quarter's share of full-year total revenue</t>
        </is>
      </c>
    </row>
    <row r="2">
      <c r="A2" s="2" t="inlineStr">
        <is>
          <t>Q4 is consistently the largest quarter (holiday ad spend + Pixel launches), which is why every forecast quarter grows off the same quarter last year.</t>
        </is>
      </c>
    </row>
    <row r="4">
      <c r="A4" s="12" t="inlineStr">
        <is>
          <t>Fiscal year</t>
        </is>
      </c>
      <c r="B4" s="12" t="inlineStr">
        <is>
          <t>Q1</t>
        </is>
      </c>
      <c r="C4" s="12" t="inlineStr">
        <is>
          <t>Q2</t>
        </is>
      </c>
      <c r="D4" s="12" t="inlineStr">
        <is>
          <t>Q3</t>
        </is>
      </c>
      <c r="E4" s="12" t="inlineStr">
        <is>
          <t>Q4</t>
        </is>
      </c>
    </row>
    <row r="5">
      <c r="A5" t="n">
        <v>2019</v>
      </c>
      <c r="B5" s="7">
        <f>Model_Base!C15/SUM(Model_Base!C15:F15)</f>
        <v/>
      </c>
      <c r="C5" s="7">
        <f>Model_Base!D15/SUM(Model_Base!C15:F15)</f>
        <v/>
      </c>
      <c r="D5" s="7">
        <f>Model_Base!E15/SUM(Model_Base!C15:F15)</f>
        <v/>
      </c>
      <c r="E5" s="7">
        <f>Model_Base!F15/SUM(Model_Base!C15:F15)</f>
        <v/>
      </c>
    </row>
    <row r="6">
      <c r="A6" t="n">
        <v>2020</v>
      </c>
      <c r="B6" s="7">
        <f>Model_Base!G15/SUM(Model_Base!G15:J15)</f>
        <v/>
      </c>
      <c r="C6" s="7">
        <f>Model_Base!H15/SUM(Model_Base!G15:J15)</f>
        <v/>
      </c>
      <c r="D6" s="7">
        <f>Model_Base!I15/SUM(Model_Base!G15:J15)</f>
        <v/>
      </c>
      <c r="E6" s="7">
        <f>Model_Base!J15/SUM(Model_Base!G15:J15)</f>
        <v/>
      </c>
    </row>
    <row r="7">
      <c r="A7" t="n">
        <v>2021</v>
      </c>
      <c r="B7" s="7">
        <f>Model_Base!K15/SUM(Model_Base!K15:N15)</f>
        <v/>
      </c>
      <c r="C7" s="7">
        <f>Model_Base!L15/SUM(Model_Base!K15:N15)</f>
        <v/>
      </c>
      <c r="D7" s="7">
        <f>Model_Base!M15/SUM(Model_Base!K15:N15)</f>
        <v/>
      </c>
      <c r="E7" s="7">
        <f>Model_Base!N15/SUM(Model_Base!K15:N15)</f>
        <v/>
      </c>
    </row>
    <row r="8">
      <c r="A8" t="n">
        <v>2022</v>
      </c>
      <c r="B8" s="7">
        <f>Model_Base!O15/SUM(Model_Base!O15:R15)</f>
        <v/>
      </c>
      <c r="C8" s="7">
        <f>Model_Base!P15/SUM(Model_Base!O15:R15)</f>
        <v/>
      </c>
      <c r="D8" s="7">
        <f>Model_Base!Q15/SUM(Model_Base!O15:R15)</f>
        <v/>
      </c>
      <c r="E8" s="7">
        <f>Model_Base!R15/SUM(Model_Base!O15:R15)</f>
        <v/>
      </c>
    </row>
    <row r="9">
      <c r="A9" t="n">
        <v>2023</v>
      </c>
      <c r="B9" s="7">
        <f>Model_Base!S15/SUM(Model_Base!S15:V15)</f>
        <v/>
      </c>
      <c r="C9" s="7">
        <f>Model_Base!T15/SUM(Model_Base!S15:V15)</f>
        <v/>
      </c>
      <c r="D9" s="7">
        <f>Model_Base!U15/SUM(Model_Base!S15:V15)</f>
        <v/>
      </c>
      <c r="E9" s="7">
        <f>Model_Base!V15/SUM(Model_Base!S15:V15)</f>
        <v/>
      </c>
    </row>
    <row r="10">
      <c r="A10" t="n">
        <v>2024</v>
      </c>
      <c r="B10" s="7">
        <f>Model_Base!W15/SUM(Model_Base!W15:Z15)</f>
        <v/>
      </c>
      <c r="C10" s="7">
        <f>Model_Base!X15/SUM(Model_Base!W15:Z15)</f>
        <v/>
      </c>
      <c r="D10" s="7">
        <f>Model_Base!Y15/SUM(Model_Base!W15:Z15)</f>
        <v/>
      </c>
      <c r="E10" s="7">
        <f>Model_Base!Z15/SUM(Model_Base!W15:Z15)</f>
        <v/>
      </c>
    </row>
    <row r="11">
      <c r="A11" t="n">
        <v>2025</v>
      </c>
      <c r="B11" s="7">
        <f>Model_Base!AA15/SUM(Model_Base!AA15:AD15)</f>
        <v/>
      </c>
      <c r="C11" s="7">
        <f>Model_Base!AB15/SUM(Model_Base!AA15:AD15)</f>
        <v/>
      </c>
      <c r="D11" s="7">
        <f>Model_Base!AC15/SUM(Model_Base!AA15:AD15)</f>
        <v/>
      </c>
      <c r="E11" s="7">
        <f>Model_Base!AD15/SUM(Model_Base!AA15:AD15)</f>
        <v/>
      </c>
    </row>
    <row r="12">
      <c r="A12" s="6" t="inlineStr">
        <is>
          <t>Average</t>
        </is>
      </c>
      <c r="B12" s="35">
        <f>AVERAGE(B5:B11)</f>
        <v/>
      </c>
      <c r="C12" s="35">
        <f>AVERAGE(C5:C11)</f>
        <v/>
      </c>
      <c r="D12" s="35">
        <f>AVERAGE(D5:D11)</f>
        <v/>
      </c>
      <c r="E12" s="35">
        <f>AVERAGE(E5:E11)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2026-10-23T20:43:38Z</dcterms:created>
  <dcterms:modified xmlns:dcterms="http://purl.org/dc/terms/" xmlns:xsi="http://www.w3.org/2001/XMLSchema-instance" xsi:type="dcterms:W3CDTF">2026-10-23T20:43:38Z</dcterms:modified>
</cp:coreProperties>
</file>